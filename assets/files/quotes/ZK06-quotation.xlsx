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'中文报价单'!$A$11:$E$44</definedName>
    <definedName name="_xlnm._FilterDatabase" localSheetId="1" hidden="1">'English Quotation'!$A$11:$E$44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ZK06 叠加度假套房舱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>
        <v>900000</v>
      </c>
      <c r="B6" s="6">
        <f>IF(SUM(D12:D44)=0,"",SUM(D12:D44))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ZK06 叠加度假套房舱</t>
        </is>
      </c>
      <c r="B9" s="9" t="n">
        <v>900000</v>
      </c>
      <c r="C9" s="2" t="inlineStr"/>
      <c r="D9" s="2" t="inlineStr"/>
      <c r="E9" s="2" t="inlineStr">
        <is>
          <t>固定双舱叠加结构，基础价按 2 × ZK01 基础生活舱计算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外置楼梯与连廊包</t>
        </is>
      </c>
      <c r="B12" s="10" t="n">
        <v>85000</v>
      </c>
      <c r="C12" s="11" t="inlineStr">
        <is>
          <t>☐</t>
        </is>
      </c>
      <c r="D12" s="10">
        <f>IF($C12="☑",$B12,"")</f>
        <v/>
      </c>
      <c r="E12" s="4" t="inlineStr">
        <is>
          <t>双舱固定叠加结构已包含，本项仅为外部通行升级</t>
        </is>
      </c>
    </row>
    <row r="13" ht="26" customHeight="1">
      <c r="A13" s="2" t="inlineStr">
        <is>
          <t>观景露台与安全栏杆包</t>
        </is>
      </c>
      <c r="B13" s="9" t="n">
        <v>70000</v>
      </c>
      <c r="C13" s="12" t="inlineStr">
        <is>
          <t>☐</t>
        </is>
      </c>
      <c r="D13" s="9">
        <f>IF($C13="☑",$B13,"")</f>
        <v/>
      </c>
      <c r="E13" s="2" t="inlineStr">
        <is>
          <t>二层观景露台、栏杆和户外休闲区</t>
        </is>
      </c>
    </row>
    <row r="14" ht="26" customHeight="1">
      <c r="A14" s="4" t="inlineStr">
        <is>
          <t>酒店套房软装包</t>
        </is>
      </c>
      <c r="B14" s="10" t="n">
        <v>120000</v>
      </c>
      <c r="C14" s="11" t="inlineStr">
        <is>
          <t>☐</t>
        </is>
      </c>
      <c r="D14" s="10">
        <f>IF($C14="☑",$B14,"")</f>
        <v/>
      </c>
      <c r="E14" s="4" t="inlineStr">
        <is>
          <t>大床、迷你吧、衣柜、软装和度假客房氛围</t>
        </is>
      </c>
    </row>
    <row r="15" ht="26" customHeight="1">
      <c r="A15" s="2" t="inlineStr">
        <is>
          <t>竖向管线检修增强包</t>
        </is>
      </c>
      <c r="B15" s="9" t="n">
        <v>35000</v>
      </c>
      <c r="C15" s="12" t="inlineStr">
        <is>
          <t>☐</t>
        </is>
      </c>
      <c r="D15" s="9">
        <f>IF($C15="☑",$B15,"")</f>
        <v/>
      </c>
      <c r="E15" s="2" t="inlineStr">
        <is>
          <t>上下层水电暖通检修和集中接口增强</t>
        </is>
      </c>
    </row>
    <row r="16" ht="26" customHeight="1">
      <c r="A16" s="4" t="inlineStr">
        <is>
          <t>全套卫浴 / 带洗浴</t>
        </is>
      </c>
      <c r="B16" s="10" t="n">
        <v>25000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储物柜（衣物收纳）</t>
        </is>
      </c>
      <c r="B17" s="9" t="n">
        <v>7000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床及床垫（单套）</t>
        </is>
      </c>
      <c r="B18" s="10" t="n">
        <v>9300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第二床位 / 第二床垫</t>
        </is>
      </c>
      <c r="B19" s="9" t="n">
        <v>3200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桌椅套装</t>
        </is>
      </c>
      <c r="B20" s="10" t="n">
        <v>2500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电器包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电动窗帘</t>
        </is>
      </c>
      <c r="B22" s="10" t="n">
        <v>5700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Low-E 玻璃升级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天窗</t>
        </is>
      </c>
      <c r="B24" s="10" t="n">
        <v>15000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内饰升级包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地暖系统</t>
        </is>
      </c>
      <c r="B26" s="10" t="n">
        <v>20000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灯带 / 氛围照明系统</t>
        </is>
      </c>
      <c r="B27" s="9" t="n">
        <v>2500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中央空调</t>
        </is>
      </c>
      <c r="B28" s="10" t="n">
        <v>40000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挂机空调</t>
        </is>
      </c>
      <c r="B29" s="9" t="n">
        <v>4700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新风系统</t>
        </is>
      </c>
      <c r="B30" s="10" t="n">
        <v>15000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顶部太阳能光伏板</t>
        </is>
      </c>
      <c r="B31" s="9" t="n">
        <v>25000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储能电池系统</t>
        </is>
      </c>
      <c r="B32" s="10" t="n">
        <v>50000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逆变器 / 能源管理系统</t>
        </is>
      </c>
      <c r="B33" s="9" t="n">
        <v>20000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星链连接硬件及安装辅材</t>
        </is>
      </c>
      <c r="B34" s="10" t="n">
        <v>33200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国际通信系统</t>
        </is>
      </c>
      <c r="B35" s="9" t="n">
        <v>10800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LED 大屏幕</t>
        </is>
      </c>
      <c r="B36" s="10" t="n">
        <v>28000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投影仪</t>
        </is>
      </c>
      <c r="B37" s="9" t="n">
        <v>5800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3D 展示系统</t>
        </is>
      </c>
      <c r="B38" s="10" t="n">
        <v>25000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AI 智能全系统</t>
        </is>
      </c>
      <c r="B39" s="9" t="n">
        <v>100000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AI 语音控制 / 设备联动全屋智能</t>
        </is>
      </c>
      <c r="B40" s="10" t="n">
        <v>20000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净水系统</t>
        </is>
      </c>
      <c r="B41" s="9" t="n">
        <v>10000</v>
      </c>
      <c r="C41" s="12" t="inlineStr">
        <is>
          <t>☐</t>
        </is>
      </c>
      <c r="D41" s="9">
        <f>IF($C41="☑",$B41,"")</f>
        <v/>
      </c>
      <c r="E41" s="2" t="inlineStr"/>
    </row>
    <row r="42" ht="26" customHeight="1">
      <c r="A42" s="4" t="inlineStr">
        <is>
          <t>智能门锁</t>
        </is>
      </c>
      <c r="B42" s="10" t="n">
        <v>1600</v>
      </c>
      <c r="C42" s="11" t="inlineStr">
        <is>
          <t>☐</t>
        </is>
      </c>
      <c r="D42" s="10">
        <f>IF($C42="☑",$B42,"")</f>
        <v/>
      </c>
      <c r="E42" s="4" t="inlineStr"/>
    </row>
    <row r="43" ht="26" customHeight="1">
      <c r="A43" s="2" t="inlineStr">
        <is>
          <t>监控 / 烟感 / 水浸报警基础包</t>
        </is>
      </c>
      <c r="B43" s="9" t="n">
        <v>4700</v>
      </c>
      <c r="C43" s="12" t="inlineStr">
        <is>
          <t>☐</t>
        </is>
      </c>
      <c r="D43" s="9">
        <f>IF($C43="☑",$B43,"")</f>
        <v/>
      </c>
      <c r="E43" s="2" t="inlineStr"/>
    </row>
    <row r="44" ht="26" customHeight="1">
      <c r="A44" s="4" t="inlineStr">
        <is>
          <t>运输成本合计</t>
        </is>
      </c>
      <c r="B44" s="10" t="n">
        <v>96700</v>
      </c>
      <c r="C44" s="11" t="inlineStr">
        <is>
          <t>☐</t>
        </is>
      </c>
      <c r="D44" s="10">
        <f>IF($C44="☑",$B44,"")</f>
        <v/>
      </c>
      <c r="E44" s="4" t="inlineStr"/>
    </row>
  </sheetData>
  <autoFilter ref="A11:E44"/>
  <mergeCells count="1">
    <mergeCell ref="A1:E1"/>
  </mergeCells>
  <conditionalFormatting sqref="A12:E44">
    <cfRule type="expression" priority="1" dxfId="0">
      <formula>$C12="☑"</formula>
    </cfRule>
  </conditionalFormatting>
  <dataValidations count="1">
    <dataValidation sqref="C12:C44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ZK06 Stacked Resort Suite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>
        <v>900000</v>
      </c>
      <c r="B6" s="6">
        <f>IF(SUM(D12:D44)=0,"",SUM(D12:D44))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ZK06 Stacked Resort Suite Capsule</t>
        </is>
      </c>
      <c r="B9" s="9" t="n">
        <v>900000</v>
      </c>
      <c r="C9" s="2" t="inlineStr"/>
      <c r="D9" s="2" t="inlineStr"/>
      <c r="E9" s="2" t="inlineStr">
        <is>
          <t>Fixed two-capsule stacked structure; base price equals 2 × ZK01 Basic Living Capsule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External staircase and corridor package</t>
        </is>
      </c>
      <c r="B12" s="10" t="n">
        <v>85000</v>
      </c>
      <c r="C12" s="11" t="inlineStr">
        <is>
          <t>☐</t>
        </is>
      </c>
      <c r="D12" s="10">
        <f>IF($C12="☑",$B12,"")</f>
        <v/>
      </c>
      <c r="E12" s="4" t="inlineStr">
        <is>
          <t>The fixed stacked dual-capsule structure is included; this is only an access upgrade</t>
        </is>
      </c>
    </row>
    <row r="13" ht="26" customHeight="1">
      <c r="A13" s="2" t="inlineStr">
        <is>
          <t>Viewing terrace and safety railing package</t>
        </is>
      </c>
      <c r="B13" s="9" t="n">
        <v>70000</v>
      </c>
      <c r="C13" s="12" t="inlineStr">
        <is>
          <t>☐</t>
        </is>
      </c>
      <c r="D13" s="9">
        <f>IF($C13="☑",$B13,"")</f>
        <v/>
      </c>
      <c r="E13" s="2" t="inlineStr">
        <is>
          <t>Second-level viewing terrace, railings and outdoor leisure area</t>
        </is>
      </c>
    </row>
    <row r="14" ht="26" customHeight="1">
      <c r="A14" s="4" t="inlineStr">
        <is>
          <t>Hotel suite soft furnishing package</t>
        </is>
      </c>
      <c r="B14" s="10" t="n">
        <v>120000</v>
      </c>
      <c r="C14" s="11" t="inlineStr">
        <is>
          <t>☐</t>
        </is>
      </c>
      <c r="D14" s="10">
        <f>IF($C14="☑",$B14,"")</f>
        <v/>
      </c>
      <c r="E14" s="4" t="inlineStr">
        <is>
          <t>Large bed, minibar, wardrobe, soft furnishing and resort-suite atmosphere</t>
        </is>
      </c>
    </row>
    <row r="15" ht="26" customHeight="1">
      <c r="A15" s="2" t="inlineStr">
        <is>
          <t>Vertical MEP maintenance enhancement</t>
        </is>
      </c>
      <c r="B15" s="9" t="n">
        <v>35000</v>
      </c>
      <c r="C15" s="12" t="inlineStr">
        <is>
          <t>☐</t>
        </is>
      </c>
      <c r="D15" s="9">
        <f>IF($C15="☑",$B15,"")</f>
        <v/>
      </c>
      <c r="E15" s="2" t="inlineStr">
        <is>
          <t>Enhanced vertical MEP access and centralized service interfaces</t>
        </is>
      </c>
    </row>
    <row r="16" ht="26" customHeight="1">
      <c r="A16" s="4" t="inlineStr">
        <is>
          <t>Complete bathroom / shower</t>
        </is>
      </c>
      <c r="B16" s="10" t="n">
        <v>25000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Storage cabinet / wardrobe</t>
        </is>
      </c>
      <c r="B17" s="9" t="n">
        <v>7000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Bed and mattress set</t>
        </is>
      </c>
      <c r="B18" s="10" t="n">
        <v>9300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Second bed / second mattress</t>
        </is>
      </c>
      <c r="B19" s="9" t="n">
        <v>3200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Desk and chair set</t>
        </is>
      </c>
      <c r="B20" s="10" t="n">
        <v>2500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Appliance package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Motorized curtains</t>
        </is>
      </c>
      <c r="B22" s="10" t="n">
        <v>5700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Low-E glass upgrade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Skylight</t>
        </is>
      </c>
      <c r="B24" s="10" t="n">
        <v>15000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Interior finish upgrade package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Floor heating system</t>
        </is>
      </c>
      <c r="B26" s="10" t="n">
        <v>20000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Light strip / ambient lighting system</t>
        </is>
      </c>
      <c r="B27" s="9" t="n">
        <v>2500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Central air conditioning</t>
        </is>
      </c>
      <c r="B28" s="10" t="n">
        <v>40000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Wall-mounted air conditioner</t>
        </is>
      </c>
      <c r="B29" s="9" t="n">
        <v>4700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Fresh air ventilation system</t>
        </is>
      </c>
      <c r="B30" s="10" t="n">
        <v>15000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Roof solar PV panels</t>
        </is>
      </c>
      <c r="B31" s="9" t="n">
        <v>25000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Energy storage battery system</t>
        </is>
      </c>
      <c r="B32" s="10" t="n">
        <v>50000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Inverter / energy management system</t>
        </is>
      </c>
      <c r="B33" s="9" t="n">
        <v>20000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Starlink hardware and installation accessories</t>
        </is>
      </c>
      <c r="B34" s="10" t="n">
        <v>33200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International communication system</t>
        </is>
      </c>
      <c r="B35" s="9" t="n">
        <v>10800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LED display screen</t>
        </is>
      </c>
      <c r="B36" s="10" t="n">
        <v>28000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Projector</t>
        </is>
      </c>
      <c r="B37" s="9" t="n">
        <v>5800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3D presentation system</t>
        </is>
      </c>
      <c r="B38" s="10" t="n">
        <v>25000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AI smart system</t>
        </is>
      </c>
      <c r="B39" s="9" t="n">
        <v>100000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AI voice control / device-linked smart system</t>
        </is>
      </c>
      <c r="B40" s="10" t="n">
        <v>20000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Water purification system</t>
        </is>
      </c>
      <c r="B41" s="9" t="n">
        <v>10000</v>
      </c>
      <c r="C41" s="12" t="inlineStr">
        <is>
          <t>☐</t>
        </is>
      </c>
      <c r="D41" s="9">
        <f>IF($C41="☑",$B41,"")</f>
        <v/>
      </c>
      <c r="E41" s="2" t="inlineStr"/>
    </row>
    <row r="42" ht="26" customHeight="1">
      <c r="A42" s="4" t="inlineStr">
        <is>
          <t>Smart door lock</t>
        </is>
      </c>
      <c r="B42" s="10" t="n">
        <v>1600</v>
      </c>
      <c r="C42" s="11" t="inlineStr">
        <is>
          <t>☐</t>
        </is>
      </c>
      <c r="D42" s="10">
        <f>IF($C42="☑",$B42,"")</f>
        <v/>
      </c>
      <c r="E42" s="4" t="inlineStr"/>
    </row>
    <row r="43" ht="26" customHeight="1">
      <c r="A43" s="2" t="inlineStr">
        <is>
          <t>Basic security package</t>
        </is>
      </c>
      <c r="B43" s="9" t="n">
        <v>4700</v>
      </c>
      <c r="C43" s="12" t="inlineStr">
        <is>
          <t>☐</t>
        </is>
      </c>
      <c r="D43" s="9">
        <f>IF($C43="☑",$B43,"")</f>
        <v/>
      </c>
      <c r="E43" s="2" t="inlineStr"/>
    </row>
    <row r="44" ht="26" customHeight="1">
      <c r="A44" s="4" t="inlineStr">
        <is>
          <t>Estimated logistics cost</t>
        </is>
      </c>
      <c r="B44" s="10" t="n">
        <v>96700</v>
      </c>
      <c r="C44" s="11" t="inlineStr">
        <is>
          <t>☐</t>
        </is>
      </c>
      <c r="D44" s="10">
        <f>IF($C44="☑",$B44,"")</f>
        <v/>
      </c>
      <c r="E44" s="4" t="inlineStr"/>
    </row>
  </sheetData>
  <autoFilter ref="A11:E44"/>
  <mergeCells count="1">
    <mergeCell ref="A1:E1"/>
  </mergeCells>
  <conditionalFormatting sqref="A12:E44">
    <cfRule type="expression" priority="1" dxfId="0">
      <formula>$C12="☑"</formula>
    </cfRule>
  </conditionalFormatting>
  <dataValidations count="1">
    <dataValidation sqref="C12:C44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2026-06-07T16:24:52Z</dcterms:created>
  <dcterms:modified xmlns:dcterms="http://purl.org/dc/terms/" xmlns:xsi="http://www.w3.org/2001/XMLSchema-instance" xsi:type="dcterms:W3CDTF">2026-06-07T16:24:52Z</dcterms:modified>
</cp:coreProperties>
</file>