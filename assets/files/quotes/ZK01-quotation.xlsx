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中文报价单" sheetId="1" state="visible" r:id="rId1"/>
    <sheet xmlns:r="http://schemas.openxmlformats.org/officeDocument/2006/relationships" name="English Quotation" sheetId="2" state="visible" r:id="rId2"/>
  </sheets>
  <definedNames>
    <definedName name="_xlnm._FilterDatabase" localSheetId="0" hidden="1">'中文报价单'!$A$11:$E$41</definedName>
    <definedName name="_xlnm._FilterDatabase" localSheetId="1" hidden="1">'English Quotation'!$A$11:$E$41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¥#,##0"/>
  </numFmts>
  <fonts count="7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b val="1"/>
      <color rgb="000D4ED8"/>
      <sz val="12"/>
    </font>
    <font>
      <name val="Microsoft YaHei"/>
      <color rgb="000B1220"/>
      <sz val="10"/>
    </font>
    <font>
      <name val="Microsoft YaHei"/>
      <b val="1"/>
      <color rgb="00FFFFFF"/>
      <sz val="18"/>
    </font>
    <font>
      <name val="Microsoft YaHei"/>
      <b val="1"/>
      <color rgb="0053657E"/>
      <sz val="10"/>
    </font>
    <font>
      <name val="Segoe UI Symbol"/>
      <b val="1"/>
      <color rgb="000D4ED8"/>
      <sz val="13"/>
    </font>
  </fonts>
  <fills count="6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F4F8FF"/>
      </patternFill>
    </fill>
    <fill>
      <patternFill patternType="solid">
        <fgColor rgb="00126BFF"/>
      </patternFill>
    </fill>
    <fill>
      <patternFill patternType="solid">
        <fgColor rgb="00FAFCFF"/>
      </patternFill>
    </fill>
  </fills>
  <borders count="2">
    <border>
      <left/>
      <right/>
      <top/>
      <bottom/>
      <diagonal/>
    </border>
    <border>
      <left style="thin">
        <color rgb="00D7E2F1"/>
      </left>
      <right style="thin">
        <color rgb="00D7E2F1"/>
      </right>
      <top style="thin">
        <color rgb="00D7E2F1"/>
      </top>
      <bottom style="thin">
        <color rgb="00D7E2F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164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right" vertical="center" wrapText="1"/>
    </xf>
    <xf numFmtId="0" fontId="6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EAF2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ZK01 基础生活舱 中文报价单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公司</t>
        </is>
      </c>
      <c r="B3" s="4" t="inlineStr">
        <is>
          <t>中科国际 Zhongke International</t>
        </is>
      </c>
      <c r="C3" s="3" t="inlineStr">
        <is>
          <t>联系人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地址</t>
        </is>
      </c>
      <c r="B4" s="4" t="inlineStr">
        <is>
          <t>香港尖沙咀麼地道75号南洋中心2座7楼</t>
        </is>
      </c>
      <c r="C4" s="3" t="inlineStr">
        <is>
          <t>币种</t>
        </is>
      </c>
      <c r="D4" s="4" t="inlineStr">
        <is>
          <t>人民币 RMB</t>
        </is>
      </c>
      <c r="E4" s="4" t="inlineStr"/>
    </row>
    <row r="5" ht="28" customHeight="1">
      <c r="A5" s="5" t="inlineStr">
        <is>
          <t>基础价格</t>
        </is>
      </c>
      <c r="B5" s="5" t="inlineStr">
        <is>
          <t>选配合计</t>
        </is>
      </c>
      <c r="C5" s="5" t="inlineStr">
        <is>
          <t>报价合计</t>
        </is>
      </c>
      <c r="D5" s="5" t="inlineStr">
        <is>
          <t>合同价为准</t>
        </is>
      </c>
      <c r="E5" s="5" t="inlineStr"/>
    </row>
    <row r="6" ht="34" customHeight="1">
      <c r="A6" s="6" t="n">
        <v>450000</v>
      </c>
      <c r="B6" s="6">
        <f>IF(SUM(D12:D41)=0,"",SUM(D12:D41))</f>
        <v/>
      </c>
      <c r="C6" s="6">
        <f>IF(SUM(A6:B6)=0,"",SUM(A6:B6))</f>
        <v/>
      </c>
      <c r="D6" s="7" t="inlineStr">
        <is>
          <t>人民币 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基础项目</t>
        </is>
      </c>
      <c r="B8" s="8" t="inlineStr">
        <is>
          <t>价格</t>
        </is>
      </c>
      <c r="C8" s="8" t="inlineStr"/>
      <c r="D8" s="8" t="inlineStr"/>
      <c r="E8" s="8" t="inlineStr">
        <is>
          <t>备注</t>
        </is>
      </c>
    </row>
    <row r="9" ht="26" customHeight="1">
      <c r="A9" s="2" t="inlineStr">
        <is>
          <t>ZK01 基础生活舱</t>
        </is>
      </c>
      <c r="B9" s="9" t="n">
        <v>450000</v>
      </c>
      <c r="C9" s="2" t="inlineStr"/>
      <c r="D9" s="2" t="inlineStr"/>
      <c r="E9" s="2" t="inlineStr">
        <is>
          <t>参考 28㎡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选配项目</t>
        </is>
      </c>
      <c r="B11" s="8" t="inlineStr">
        <is>
          <t>价格</t>
        </is>
      </c>
      <c r="C11" s="8" t="inlineStr">
        <is>
          <t>勾选</t>
        </is>
      </c>
      <c r="D11" s="8" t="inlineStr">
        <is>
          <t>计入金额</t>
        </is>
      </c>
      <c r="E11" s="8" t="inlineStr">
        <is>
          <t>备注</t>
        </is>
      </c>
    </row>
    <row r="12" ht="26" customHeight="1">
      <c r="A12" s="4" t="inlineStr">
        <is>
          <t>移动款附加项</t>
        </is>
      </c>
      <c r="B12" s="10" t="n">
        <v>120000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全套卫浴 / 带洗浴</t>
        </is>
      </c>
      <c r="B13" s="9" t="n">
        <v>25000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储物柜（衣物收纳）</t>
        </is>
      </c>
      <c r="B14" s="10" t="n">
        <v>7000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床及床垫（单套）</t>
        </is>
      </c>
      <c r="B15" s="9" t="n">
        <v>9300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第二床位 / 第二床垫</t>
        </is>
      </c>
      <c r="B16" s="10" t="n">
        <v>3200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桌椅套装</t>
        </is>
      </c>
      <c r="B17" s="9" t="n">
        <v>2500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电器包</t>
        </is>
      </c>
      <c r="B18" s="10" t="n">
        <v>40000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电动窗帘</t>
        </is>
      </c>
      <c r="B19" s="9" t="n">
        <v>5700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Low-E 玻璃升级</t>
        </is>
      </c>
      <c r="B20" s="10" t="n">
        <v>20000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天窗</t>
        </is>
      </c>
      <c r="B21" s="9" t="n">
        <v>15000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内饰升级包</t>
        </is>
      </c>
      <c r="B22" s="10" t="n">
        <v>40000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地暖系统</t>
        </is>
      </c>
      <c r="B23" s="9" t="n">
        <v>20000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灯带 / 氛围照明系统</t>
        </is>
      </c>
      <c r="B24" s="10" t="n">
        <v>2500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中央空调</t>
        </is>
      </c>
      <c r="B25" s="9" t="n">
        <v>40000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挂机空调</t>
        </is>
      </c>
      <c r="B26" s="10" t="n">
        <v>4700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新风系统</t>
        </is>
      </c>
      <c r="B27" s="9" t="n">
        <v>15000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顶部太阳能光伏板</t>
        </is>
      </c>
      <c r="B28" s="10" t="n">
        <v>25000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储能电池系统</t>
        </is>
      </c>
      <c r="B29" s="9" t="n">
        <v>50000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逆变器 / 能源管理系统</t>
        </is>
      </c>
      <c r="B30" s="10" t="n">
        <v>20000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星链连接硬件及安装辅材</t>
        </is>
      </c>
      <c r="B31" s="9" t="n">
        <v>33200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国际通信系统</t>
        </is>
      </c>
      <c r="B32" s="10" t="n">
        <v>10800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LED 大屏幕</t>
        </is>
      </c>
      <c r="B33" s="9" t="n">
        <v>28000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投影仪</t>
        </is>
      </c>
      <c r="B34" s="10" t="n">
        <v>5800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3D 展示系统</t>
        </is>
      </c>
      <c r="B35" s="9" t="n">
        <v>25000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智能全系统</t>
        </is>
      </c>
      <c r="B36" s="10" t="n">
        <v>100000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AI 语音控制 / 设备联动全屋智能</t>
        </is>
      </c>
      <c r="B37" s="9" t="n">
        <v>20000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净水系统</t>
        </is>
      </c>
      <c r="B38" s="10" t="n">
        <v>10000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智能门锁</t>
        </is>
      </c>
      <c r="B39" s="9" t="n">
        <v>1600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监控 / 烟感 / 水浸报警基础包</t>
        </is>
      </c>
      <c r="B40" s="10" t="n">
        <v>4700</v>
      </c>
      <c r="C40" s="11" t="inlineStr">
        <is>
          <t>☐</t>
        </is>
      </c>
      <c r="D40" s="10">
        <f>IF($C40="☑",$B40,"")</f>
        <v/>
      </c>
      <c r="E40" s="4" t="inlineStr"/>
    </row>
    <row r="41" ht="26" customHeight="1">
      <c r="A41" s="2" t="inlineStr">
        <is>
          <t>运输成本合计</t>
        </is>
      </c>
      <c r="B41" s="9" t="n">
        <v>96700</v>
      </c>
      <c r="C41" s="12" t="inlineStr">
        <is>
          <t>☐</t>
        </is>
      </c>
      <c r="D41" s="9">
        <f>IF($C41="☑",$B41,"")</f>
        <v/>
      </c>
      <c r="E41" s="2" t="inlineStr"/>
    </row>
  </sheetData>
  <autoFilter ref="A11:E41"/>
  <mergeCells count="1">
    <mergeCell ref="A1:E1"/>
  </mergeCells>
  <conditionalFormatting sqref="A12:E41">
    <cfRule type="expression" priority="1" dxfId="0">
      <formula>$C12="☑"</formula>
    </cfRule>
  </conditionalFormatting>
  <dataValidations count="1">
    <dataValidation sqref="C12:C41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ZK01 Basic Living Capsule English Quotation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Company</t>
        </is>
      </c>
      <c r="B3" s="4" t="inlineStr">
        <is>
          <t>中科国际 Zhongke International</t>
        </is>
      </c>
      <c r="C3" s="3" t="inlineStr">
        <is>
          <t>Contact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Address</t>
        </is>
      </c>
      <c r="B4" s="4" t="inlineStr">
        <is>
          <t>香港尖沙咀麼地道75号南洋中心2座7楼</t>
        </is>
      </c>
      <c r="C4" s="3" t="inlineStr">
        <is>
          <t>Currency</t>
        </is>
      </c>
      <c r="D4" s="4" t="inlineStr">
        <is>
          <t>RMB</t>
        </is>
      </c>
      <c r="E4" s="4" t="inlineStr"/>
    </row>
    <row r="5" ht="28" customHeight="1">
      <c r="A5" s="5" t="inlineStr">
        <is>
          <t>Base Price</t>
        </is>
      </c>
      <c r="B5" s="5" t="inlineStr">
        <is>
          <t>Options Total</t>
        </is>
      </c>
      <c r="C5" s="5" t="inlineStr">
        <is>
          <t>Quotation Total</t>
        </is>
      </c>
      <c r="D5" s="5" t="inlineStr">
        <is>
          <t>Contract price prevails</t>
        </is>
      </c>
      <c r="E5" s="5" t="inlineStr"/>
    </row>
    <row r="6" ht="34" customHeight="1">
      <c r="A6" s="6" t="n">
        <v>450000</v>
      </c>
      <c r="B6" s="6">
        <f>IF(SUM(D12:D41)=0,"",SUM(D12:D41))</f>
        <v/>
      </c>
      <c r="C6" s="6">
        <f>IF(SUM(A6:B6)=0,"",SUM(A6:B6))</f>
        <v/>
      </c>
      <c r="D6" s="7" t="inlineStr">
        <is>
          <t>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Base Item</t>
        </is>
      </c>
      <c r="B8" s="8" t="inlineStr">
        <is>
          <t>Price</t>
        </is>
      </c>
      <c r="C8" s="8" t="inlineStr"/>
      <c r="D8" s="8" t="inlineStr"/>
      <c r="E8" s="8" t="inlineStr">
        <is>
          <t>Remark</t>
        </is>
      </c>
    </row>
    <row r="9" ht="26" customHeight="1">
      <c r="A9" s="2" t="inlineStr">
        <is>
          <t>ZK01 Basic Living Capsule</t>
        </is>
      </c>
      <c r="B9" s="9" t="n">
        <v>450000</v>
      </c>
      <c r="C9" s="2" t="inlineStr"/>
      <c r="D9" s="2" t="inlineStr"/>
      <c r="E9" s="2" t="inlineStr">
        <is>
          <t>Approx. 28 sqm reference configuration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Optional Items</t>
        </is>
      </c>
      <c r="B11" s="8" t="inlineStr">
        <is>
          <t>Price</t>
        </is>
      </c>
      <c r="C11" s="8" t="inlineStr">
        <is>
          <t>Select</t>
        </is>
      </c>
      <c r="D11" s="8" t="inlineStr">
        <is>
          <t>Included Amount</t>
        </is>
      </c>
      <c r="E11" s="8" t="inlineStr">
        <is>
          <t>Remark</t>
        </is>
      </c>
    </row>
    <row r="12" ht="26" customHeight="1">
      <c r="A12" s="4" t="inlineStr">
        <is>
          <t>Mobile version add-on</t>
        </is>
      </c>
      <c r="B12" s="10" t="n">
        <v>120000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Complete bathroom / shower</t>
        </is>
      </c>
      <c r="B13" s="9" t="n">
        <v>25000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Storage cabinet / wardrobe</t>
        </is>
      </c>
      <c r="B14" s="10" t="n">
        <v>7000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Bed and mattress set</t>
        </is>
      </c>
      <c r="B15" s="9" t="n">
        <v>9300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Second bed / second mattress</t>
        </is>
      </c>
      <c r="B16" s="10" t="n">
        <v>3200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Desk and chair set</t>
        </is>
      </c>
      <c r="B17" s="9" t="n">
        <v>2500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Appliance package</t>
        </is>
      </c>
      <c r="B18" s="10" t="n">
        <v>40000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Motorized curtains</t>
        </is>
      </c>
      <c r="B19" s="9" t="n">
        <v>5700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Low-E glass upgrade</t>
        </is>
      </c>
      <c r="B20" s="10" t="n">
        <v>20000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Skylight</t>
        </is>
      </c>
      <c r="B21" s="9" t="n">
        <v>15000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Interior finish upgrade package</t>
        </is>
      </c>
      <c r="B22" s="10" t="n">
        <v>40000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Floor heating system</t>
        </is>
      </c>
      <c r="B23" s="9" t="n">
        <v>20000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Light strip / ambient lighting system</t>
        </is>
      </c>
      <c r="B24" s="10" t="n">
        <v>2500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Central air conditioning</t>
        </is>
      </c>
      <c r="B25" s="9" t="n">
        <v>40000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Wall-mounted air conditioner</t>
        </is>
      </c>
      <c r="B26" s="10" t="n">
        <v>4700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Fresh air ventilation system</t>
        </is>
      </c>
      <c r="B27" s="9" t="n">
        <v>15000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Roof solar PV panels</t>
        </is>
      </c>
      <c r="B28" s="10" t="n">
        <v>25000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Energy storage battery system</t>
        </is>
      </c>
      <c r="B29" s="9" t="n">
        <v>50000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Inverter / energy management system</t>
        </is>
      </c>
      <c r="B30" s="10" t="n">
        <v>20000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Starlink hardware and installation accessories</t>
        </is>
      </c>
      <c r="B31" s="9" t="n">
        <v>33200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International communication system</t>
        </is>
      </c>
      <c r="B32" s="10" t="n">
        <v>10800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LED display screen</t>
        </is>
      </c>
      <c r="B33" s="9" t="n">
        <v>28000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Projector</t>
        </is>
      </c>
      <c r="B34" s="10" t="n">
        <v>5800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3D presentation system</t>
        </is>
      </c>
      <c r="B35" s="9" t="n">
        <v>25000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smart system</t>
        </is>
      </c>
      <c r="B36" s="10" t="n">
        <v>100000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AI voice control / device-linked smart system</t>
        </is>
      </c>
      <c r="B37" s="9" t="n">
        <v>20000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Water purification system</t>
        </is>
      </c>
      <c r="B38" s="10" t="n">
        <v>10000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Smart door lock</t>
        </is>
      </c>
      <c r="B39" s="9" t="n">
        <v>1600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Basic security package</t>
        </is>
      </c>
      <c r="B40" s="10" t="n">
        <v>4700</v>
      </c>
      <c r="C40" s="11" t="inlineStr">
        <is>
          <t>☐</t>
        </is>
      </c>
      <c r="D40" s="10">
        <f>IF($C40="☑",$B40,"")</f>
        <v/>
      </c>
      <c r="E40" s="4" t="inlineStr"/>
    </row>
    <row r="41" ht="26" customHeight="1">
      <c r="A41" s="2" t="inlineStr">
        <is>
          <t>Estimated logistics cost</t>
        </is>
      </c>
      <c r="B41" s="9" t="n">
        <v>96700</v>
      </c>
      <c r="C41" s="12" t="inlineStr">
        <is>
          <t>☐</t>
        </is>
      </c>
      <c r="D41" s="9">
        <f>IF($C41="☑",$B41,"")</f>
        <v/>
      </c>
      <c r="E41" s="2" t="inlineStr"/>
    </row>
  </sheetData>
  <autoFilter ref="A11:E41"/>
  <mergeCells count="1">
    <mergeCell ref="A1:E1"/>
  </mergeCells>
  <conditionalFormatting sqref="A12:E41">
    <cfRule type="expression" priority="1" dxfId="0">
      <formula>$C12="☑"</formula>
    </cfRule>
  </conditionalFormatting>
  <dataValidations count="1">
    <dataValidation sqref="C12:C41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2026-05-30T12:17:14Z</dcterms:created>
  <dcterms:modified xmlns:dcterms="http://purl.org/dc/terms/" xmlns:xsi="http://www.w3.org/2001/XMLSchema-instance" xsi:type="dcterms:W3CDTF">2026-05-30T12:17:14Z</dcterms:modified>
</cp:coreProperties>
</file>