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'中文报价单'!$A$11:$E$46</definedName>
    <definedName name="_xlnm._FilterDatabase" localSheetId="1" hidden="1">'English Quotation'!$A$11:$E$46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ZK09 旗舰定制舱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1680000</v>
      </c>
      <c r="B6" s="6">
        <f>IF(SUM(D12:D46)=0,"",SUM(D12:D46))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ZK09 旗舰定制舱</t>
        </is>
      </c>
      <c r="B9" s="9" t="n">
        <v>1680000</v>
      </c>
      <c r="C9" s="2" t="inlineStr"/>
      <c r="D9" s="2" t="inlineStr"/>
      <c r="E9" s="2" t="inlineStr">
        <is>
          <t>双舱/多舱组合、VIP会客、吧台、顶级内饰和全屋智能基础配置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多舱组合深化设计包</t>
        </is>
      </c>
      <c r="B12" s="10" t="n">
        <v>180000</v>
      </c>
      <c r="C12" s="11" t="inlineStr">
        <is>
          <t>☐</t>
        </is>
      </c>
      <c r="D12" s="10">
        <f>IF($C12="☑",$B12,"")</f>
        <v/>
      </c>
      <c r="E12" s="4" t="inlineStr">
        <is>
          <t>双舱/多舱组合平面、结构和动线深化</t>
        </is>
      </c>
    </row>
    <row r="13" ht="26" customHeight="1">
      <c r="A13" s="2" t="inlineStr">
        <is>
          <t>旗舰外立面定制包</t>
        </is>
      </c>
      <c r="B13" s="9" t="n">
        <v>250000</v>
      </c>
      <c r="C13" s="12" t="inlineStr">
        <is>
          <t>☐</t>
        </is>
      </c>
      <c r="D13" s="9">
        <f>IF($C13="☑",$B13,"")</f>
        <v/>
      </c>
      <c r="E13" s="2" t="inlineStr">
        <is>
          <t>高端定制外立面、品牌形象和夜景灯光</t>
        </is>
      </c>
    </row>
    <row r="14" ht="26" customHeight="1">
      <c r="A14" s="4" t="inlineStr">
        <is>
          <t>VIP 会客 / 吧台升级包</t>
        </is>
      </c>
      <c r="B14" s="10" t="n">
        <v>180000</v>
      </c>
      <c r="C14" s="11" t="inlineStr">
        <is>
          <t>☐</t>
        </is>
      </c>
      <c r="D14" s="10">
        <f>IF($C14="☑",$B14,"")</f>
        <v/>
      </c>
      <c r="E14" s="4" t="inlineStr">
        <is>
          <t>独立会客区、吧台和商务接待软装</t>
        </is>
      </c>
    </row>
    <row r="15" ht="26" customHeight="1">
      <c r="A15" s="2" t="inlineStr">
        <is>
          <t>顶级内饰材料包</t>
        </is>
      </c>
      <c r="B15" s="9" t="n">
        <v>300000</v>
      </c>
      <c r="C15" s="12" t="inlineStr">
        <is>
          <t>☐</t>
        </is>
      </c>
      <c r="D15" s="9">
        <f>IF($C15="☑",$B15,"")</f>
        <v/>
      </c>
      <c r="E15" s="2" t="inlineStr">
        <is>
          <t>高级饰面、定制家具和酒店级材料</t>
        </is>
      </c>
    </row>
    <row r="16" ht="26" customHeight="1">
      <c r="A16" s="4" t="inlineStr">
        <is>
          <t>全屋智能 / 灯光联动包</t>
        </is>
      </c>
      <c r="B16" s="10" t="n">
        <v>160000</v>
      </c>
      <c r="C16" s="11" t="inlineStr">
        <is>
          <t>☐</t>
        </is>
      </c>
      <c r="D16" s="10">
        <f>IF($C16="☑",$B16,"")</f>
        <v/>
      </c>
      <c r="E16" s="4" t="inlineStr">
        <is>
          <t>全屋智能、灯光场景和设备联动</t>
        </is>
      </c>
    </row>
    <row r="17" ht="26" customHeight="1">
      <c r="A17" s="2" t="inlineStr">
        <is>
          <t>品牌展厅多媒体包</t>
        </is>
      </c>
      <c r="B17" s="9" t="n">
        <v>220000</v>
      </c>
      <c r="C17" s="12" t="inlineStr">
        <is>
          <t>☐</t>
        </is>
      </c>
      <c r="D17" s="9">
        <f>IF($C17="☑",$B17,"")</f>
        <v/>
      </c>
      <c r="E17" s="2" t="inlineStr">
        <is>
          <t>品牌展示、LED/投影/互动多媒体系统</t>
        </is>
      </c>
    </row>
    <row r="18" ht="26" customHeight="1">
      <c r="A18" s="4" t="inlineStr">
        <is>
          <t>全套卫浴 / 带洗浴</t>
        </is>
      </c>
      <c r="B18" s="10" t="n">
        <v>25000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储物柜（衣物收纳）</t>
        </is>
      </c>
      <c r="B19" s="9" t="n">
        <v>7000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床及床垫（单套）</t>
        </is>
      </c>
      <c r="B20" s="10" t="n">
        <v>9300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第二床位 / 第二床垫</t>
        </is>
      </c>
      <c r="B21" s="9" t="n">
        <v>3200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桌椅套装</t>
        </is>
      </c>
      <c r="B22" s="10" t="n">
        <v>2500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电器包</t>
        </is>
      </c>
      <c r="B23" s="9" t="n">
        <v>40000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电动窗帘</t>
        </is>
      </c>
      <c r="B24" s="10" t="n">
        <v>5700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Low-E 玻璃升级</t>
        </is>
      </c>
      <c r="B25" s="9" t="n">
        <v>20000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天窗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内饰升级包</t>
        </is>
      </c>
      <c r="B27" s="9" t="n">
        <v>40000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地暖系统</t>
        </is>
      </c>
      <c r="B28" s="10" t="n">
        <v>20000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灯带 / 氛围照明系统</t>
        </is>
      </c>
      <c r="B29" s="9" t="n">
        <v>2500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中央空调</t>
        </is>
      </c>
      <c r="B30" s="10" t="n">
        <v>40000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挂机空调</t>
        </is>
      </c>
      <c r="B31" s="9" t="n">
        <v>4700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新风系统</t>
        </is>
      </c>
      <c r="B32" s="10" t="n">
        <v>15000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顶部太阳能光伏板</t>
        </is>
      </c>
      <c r="B33" s="9" t="n">
        <v>25000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储能电池系统</t>
        </is>
      </c>
      <c r="B34" s="10" t="n">
        <v>50000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逆变器 / 能源管理系统</t>
        </is>
      </c>
      <c r="B35" s="9" t="n">
        <v>20000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星链连接硬件及安装辅材</t>
        </is>
      </c>
      <c r="B36" s="10" t="n">
        <v>33200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国际通信系统</t>
        </is>
      </c>
      <c r="B37" s="9" t="n">
        <v>10800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LED 大屏幕</t>
        </is>
      </c>
      <c r="B38" s="10" t="n">
        <v>28000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投影仪</t>
        </is>
      </c>
      <c r="B39" s="9" t="n">
        <v>5800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3D 展示系统</t>
        </is>
      </c>
      <c r="B40" s="10" t="n">
        <v>25000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AI 智能全系统</t>
        </is>
      </c>
      <c r="B41" s="9" t="n">
        <v>100000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AI 语音控制 / 设备联动全屋智能</t>
        </is>
      </c>
      <c r="B42" s="10" t="n">
        <v>20000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净水系统</t>
        </is>
      </c>
      <c r="B43" s="9" t="n">
        <v>10000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智能门锁</t>
        </is>
      </c>
      <c r="B44" s="10" t="n">
        <v>1600</v>
      </c>
      <c r="C44" s="11" t="inlineStr">
        <is>
          <t>☐</t>
        </is>
      </c>
      <c r="D44" s="10">
        <f>IF($C44="☑",$B44,"")</f>
        <v/>
      </c>
      <c r="E44" s="4" t="inlineStr"/>
    </row>
    <row r="45" ht="26" customHeight="1">
      <c r="A45" s="2" t="inlineStr">
        <is>
          <t>监控 / 烟感 / 水浸报警基础包</t>
        </is>
      </c>
      <c r="B45" s="9" t="n">
        <v>4700</v>
      </c>
      <c r="C45" s="12" t="inlineStr">
        <is>
          <t>☐</t>
        </is>
      </c>
      <c r="D45" s="9">
        <f>IF($C45="☑",$B45,"")</f>
        <v/>
      </c>
      <c r="E45" s="2" t="inlineStr"/>
    </row>
    <row r="46" ht="26" customHeight="1">
      <c r="A46" s="4" t="inlineStr">
        <is>
          <t>运输成本合计</t>
        </is>
      </c>
      <c r="B46" s="10" t="n">
        <v>96700</v>
      </c>
      <c r="C46" s="11" t="inlineStr">
        <is>
          <t>☐</t>
        </is>
      </c>
      <c r="D46" s="10">
        <f>IF($C46="☑",$B46,"")</f>
        <v/>
      </c>
      <c r="E46" s="4" t="inlineStr"/>
    </row>
  </sheetData>
  <autoFilter ref="A11:E46"/>
  <mergeCells count="1">
    <mergeCell ref="A1:E1"/>
  </mergeCells>
  <conditionalFormatting sqref="A12:E46">
    <cfRule type="expression" priority="1" dxfId="0">
      <formula>$C12="☑"</formula>
    </cfRule>
  </conditionalFormatting>
  <dataValidations count="1">
    <dataValidation sqref="C12:C46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ZK09 Flagship Customized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1680000</v>
      </c>
      <c r="B6" s="6">
        <f>IF(SUM(D12:D46)=0,"",SUM(D12:D46))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ZK09 Flagship Customized Capsule</t>
        </is>
      </c>
      <c r="B9" s="9" t="n">
        <v>1680000</v>
      </c>
      <c r="C9" s="2" t="inlineStr"/>
      <c r="D9" s="2" t="inlineStr"/>
      <c r="E9" s="2" t="inlineStr">
        <is>
          <t>Dual/multi-capsule combination with VIP lounge, bar counter, premium interior and smart control base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Multi-capsule combination design package</t>
        </is>
      </c>
      <c r="B12" s="10" t="n">
        <v>180000</v>
      </c>
      <c r="C12" s="11" t="inlineStr">
        <is>
          <t>☐</t>
        </is>
      </c>
      <c r="D12" s="10">
        <f>IF($C12="☑",$B12,"")</f>
        <v/>
      </c>
      <c r="E12" s="4" t="inlineStr">
        <is>
          <t>Detailed planning, structure and circulation for dual/multi-capsule combinations</t>
        </is>
      </c>
    </row>
    <row r="13" ht="26" customHeight="1">
      <c r="A13" s="2" t="inlineStr">
        <is>
          <t>Flagship facade customization package</t>
        </is>
      </c>
      <c r="B13" s="9" t="n">
        <v>250000</v>
      </c>
      <c r="C13" s="12" t="inlineStr">
        <is>
          <t>☐</t>
        </is>
      </c>
      <c r="D13" s="9">
        <f>IF($C13="☑",$B13,"")</f>
        <v/>
      </c>
      <c r="E13" s="2" t="inlineStr">
        <is>
          <t>Premium customized facade, brand identity and night lighting</t>
        </is>
      </c>
    </row>
    <row r="14" ht="26" customHeight="1">
      <c r="A14" s="4" t="inlineStr">
        <is>
          <t>VIP lounge / bar counter upgrade package</t>
        </is>
      </c>
      <c r="B14" s="10" t="n">
        <v>180000</v>
      </c>
      <c r="C14" s="11" t="inlineStr">
        <is>
          <t>☐</t>
        </is>
      </c>
      <c r="D14" s="10">
        <f>IF($C14="☑",$B14,"")</f>
        <v/>
      </c>
      <c r="E14" s="4" t="inlineStr">
        <is>
          <t>Private lounge area, bar counter and business reception furnishing</t>
        </is>
      </c>
    </row>
    <row r="15" ht="26" customHeight="1">
      <c r="A15" s="2" t="inlineStr">
        <is>
          <t>Premium interior materials package</t>
        </is>
      </c>
      <c r="B15" s="9" t="n">
        <v>300000</v>
      </c>
      <c r="C15" s="12" t="inlineStr">
        <is>
          <t>☐</t>
        </is>
      </c>
      <c r="D15" s="9">
        <f>IF($C15="☑",$B15,"")</f>
        <v/>
      </c>
      <c r="E15" s="2" t="inlineStr">
        <is>
          <t>Premium finishes, custom furniture and hotel-grade materials</t>
        </is>
      </c>
    </row>
    <row r="16" ht="26" customHeight="1">
      <c r="A16" s="4" t="inlineStr">
        <is>
          <t>Whole-space smart control / lighting package</t>
        </is>
      </c>
      <c r="B16" s="10" t="n">
        <v>160000</v>
      </c>
      <c r="C16" s="11" t="inlineStr">
        <is>
          <t>☐</t>
        </is>
      </c>
      <c r="D16" s="10">
        <f>IF($C16="☑",$B16,"")</f>
        <v/>
      </c>
      <c r="E16" s="4" t="inlineStr">
        <is>
          <t>Whole-space smart control, lighting scenes and device linkage</t>
        </is>
      </c>
    </row>
    <row r="17" ht="26" customHeight="1">
      <c r="A17" s="2" t="inlineStr">
        <is>
          <t>Brand showroom multimedia package</t>
        </is>
      </c>
      <c r="B17" s="9" t="n">
        <v>220000</v>
      </c>
      <c r="C17" s="12" t="inlineStr">
        <is>
          <t>☐</t>
        </is>
      </c>
      <c r="D17" s="9">
        <f>IF($C17="☑",$B17,"")</f>
        <v/>
      </c>
      <c r="E17" s="2" t="inlineStr">
        <is>
          <t>Brand display, LED / projection and interactive multimedia system</t>
        </is>
      </c>
    </row>
    <row r="18" ht="26" customHeight="1">
      <c r="A18" s="4" t="inlineStr">
        <is>
          <t>Complete bathroom / shower</t>
        </is>
      </c>
      <c r="B18" s="10" t="n">
        <v>25000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Storage cabinet / wardrobe</t>
        </is>
      </c>
      <c r="B19" s="9" t="n">
        <v>7000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Bed and mattress set</t>
        </is>
      </c>
      <c r="B20" s="10" t="n">
        <v>9300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Second bed / second mattress</t>
        </is>
      </c>
      <c r="B21" s="9" t="n">
        <v>3200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Desk and chair set</t>
        </is>
      </c>
      <c r="B22" s="10" t="n">
        <v>2500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Appliance package</t>
        </is>
      </c>
      <c r="B23" s="9" t="n">
        <v>40000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Motorized curtains</t>
        </is>
      </c>
      <c r="B24" s="10" t="n">
        <v>5700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Low-E glass upgrade</t>
        </is>
      </c>
      <c r="B25" s="9" t="n">
        <v>20000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Skylight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Interior finish upgrade package</t>
        </is>
      </c>
      <c r="B27" s="9" t="n">
        <v>40000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Floor heating system</t>
        </is>
      </c>
      <c r="B28" s="10" t="n">
        <v>20000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Light strip / ambient lighting system</t>
        </is>
      </c>
      <c r="B29" s="9" t="n">
        <v>2500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Central air conditioning</t>
        </is>
      </c>
      <c r="B30" s="10" t="n">
        <v>40000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Wall-mounted air conditioner</t>
        </is>
      </c>
      <c r="B31" s="9" t="n">
        <v>4700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Fresh air ventilation system</t>
        </is>
      </c>
      <c r="B32" s="10" t="n">
        <v>15000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Roof solar PV panels</t>
        </is>
      </c>
      <c r="B33" s="9" t="n">
        <v>25000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Energy storage battery system</t>
        </is>
      </c>
      <c r="B34" s="10" t="n">
        <v>50000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Inverter / energy management system</t>
        </is>
      </c>
      <c r="B35" s="9" t="n">
        <v>20000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Starlink hardware and installation accessories</t>
        </is>
      </c>
      <c r="B36" s="10" t="n">
        <v>33200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International communication system</t>
        </is>
      </c>
      <c r="B37" s="9" t="n">
        <v>10800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LED display screen</t>
        </is>
      </c>
      <c r="B38" s="10" t="n">
        <v>28000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Projector</t>
        </is>
      </c>
      <c r="B39" s="9" t="n">
        <v>5800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3D presentation system</t>
        </is>
      </c>
      <c r="B40" s="10" t="n">
        <v>25000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AI smart system</t>
        </is>
      </c>
      <c r="B41" s="9" t="n">
        <v>100000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AI voice control / device-linked smart system</t>
        </is>
      </c>
      <c r="B42" s="10" t="n">
        <v>20000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Water purification system</t>
        </is>
      </c>
      <c r="B43" s="9" t="n">
        <v>10000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Smart door lock</t>
        </is>
      </c>
      <c r="B44" s="10" t="n">
        <v>1600</v>
      </c>
      <c r="C44" s="11" t="inlineStr">
        <is>
          <t>☐</t>
        </is>
      </c>
      <c r="D44" s="10">
        <f>IF($C44="☑",$B44,"")</f>
        <v/>
      </c>
      <c r="E44" s="4" t="inlineStr"/>
    </row>
    <row r="45" ht="26" customHeight="1">
      <c r="A45" s="2" t="inlineStr">
        <is>
          <t>Basic security package</t>
        </is>
      </c>
      <c r="B45" s="9" t="n">
        <v>4700</v>
      </c>
      <c r="C45" s="12" t="inlineStr">
        <is>
          <t>☐</t>
        </is>
      </c>
      <c r="D45" s="9">
        <f>IF($C45="☑",$B45,"")</f>
        <v/>
      </c>
      <c r="E45" s="2" t="inlineStr"/>
    </row>
    <row r="46" ht="26" customHeight="1">
      <c r="A46" s="4" t="inlineStr">
        <is>
          <t>Estimated logistics cost</t>
        </is>
      </c>
      <c r="B46" s="10" t="n">
        <v>96700</v>
      </c>
      <c r="C46" s="11" t="inlineStr">
        <is>
          <t>☐</t>
        </is>
      </c>
      <c r="D46" s="10">
        <f>IF($C46="☑",$B46,"")</f>
        <v/>
      </c>
      <c r="E46" s="4" t="inlineStr"/>
    </row>
  </sheetData>
  <autoFilter ref="A11:E46"/>
  <mergeCells count="1">
    <mergeCell ref="A1:E1"/>
  </mergeCells>
  <conditionalFormatting sqref="A12:E46">
    <cfRule type="expression" priority="1" dxfId="0">
      <formula>$C12="☑"</formula>
    </cfRule>
  </conditionalFormatting>
  <dataValidations count="1">
    <dataValidation sqref="C12:C46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