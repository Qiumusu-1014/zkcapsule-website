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'中文报价单'!$A$11:$E$44</definedName>
    <definedName name="_xlnm._FilterDatabase" localSheetId="1" hidden="1">'English Quotation'!$A$11:$E$44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ZK05 露台舱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620000</v>
      </c>
      <c r="B6" s="6">
        <f>IF(SUM(D12:D44)=0,"",SUM(D12:D44))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ZK05 露台舱</t>
        </is>
      </c>
      <c r="B9" s="9" t="n">
        <v>620000</v>
      </c>
      <c r="C9" s="2" t="inlineStr"/>
      <c r="D9" s="2" t="inlineStr"/>
      <c r="E9" s="2" t="inlineStr">
        <is>
          <t>露台、户外休闲、景区度假基础配置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露台户外休闲包</t>
        </is>
      </c>
      <c r="B12" s="10" t="n">
        <v>85000</v>
      </c>
      <c r="C12" s="11" t="inlineStr">
        <is>
          <t>☐</t>
        </is>
      </c>
      <c r="D12" s="10">
        <f>IF($C12="☑",$B12,"")</f>
        <v/>
      </c>
      <c r="E12" s="4" t="inlineStr">
        <is>
          <t>户外露台、休闲座椅、遮阳及景观布置</t>
        </is>
      </c>
    </row>
    <row r="13" ht="26" customHeight="1">
      <c r="A13" s="2" t="inlineStr">
        <is>
          <t>活动运营移动部署包</t>
        </is>
      </c>
      <c r="B13" s="9" t="n">
        <v>120000</v>
      </c>
      <c r="C13" s="12" t="inlineStr">
        <is>
          <t>☐</t>
        </is>
      </c>
      <c r="D13" s="9">
        <f>IF($C13="☑",$B13,"")</f>
        <v/>
      </c>
      <c r="E13" s="2" t="inlineStr">
        <is>
          <t>牵引、支撑腿、户外接口及快速转场结构</t>
        </is>
      </c>
    </row>
    <row r="14" ht="26" customHeight="1">
      <c r="A14" s="4" t="inlineStr">
        <is>
          <t>户外遮阳棚 / 雨棚</t>
        </is>
      </c>
      <c r="B14" s="10" t="n">
        <v>28000</v>
      </c>
      <c r="C14" s="11" t="inlineStr">
        <is>
          <t>☐</t>
        </is>
      </c>
      <c r="D14" s="10">
        <f>IF($C14="☑",$B14,"")</f>
        <v/>
      </c>
      <c r="E14" s="4" t="inlineStr">
        <is>
          <t>适合露台、营地和景区休闲区</t>
        </is>
      </c>
    </row>
    <row r="15" ht="26" customHeight="1">
      <c r="A15" s="2" t="inlineStr">
        <is>
          <t>户外家具与景观灯</t>
        </is>
      </c>
      <c r="B15" s="9" t="n">
        <v>22000</v>
      </c>
      <c r="C15" s="12" t="inlineStr">
        <is>
          <t>☐</t>
        </is>
      </c>
      <c r="D15" s="9">
        <f>IF($C15="☑",$B15,"")</f>
        <v/>
      </c>
      <c r="E15" s="2" t="inlineStr">
        <is>
          <t>露台桌椅、氛围灯和景观照明</t>
        </is>
      </c>
    </row>
    <row r="16" ht="26" customHeight="1">
      <c r="A16" s="4" t="inlineStr">
        <is>
          <t>全套卫浴 / 带洗浴</t>
        </is>
      </c>
      <c r="B16" s="10" t="n">
        <v>25000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储物柜（衣物收纳）</t>
        </is>
      </c>
      <c r="B17" s="9" t="n">
        <v>7000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床及床垫（单套）</t>
        </is>
      </c>
      <c r="B18" s="10" t="n">
        <v>9300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第二床位 / 第二床垫</t>
        </is>
      </c>
      <c r="B19" s="9" t="n">
        <v>3200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桌椅套装</t>
        </is>
      </c>
      <c r="B20" s="10" t="n">
        <v>2500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电器包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电动窗帘</t>
        </is>
      </c>
      <c r="B22" s="10" t="n">
        <v>5700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Low-E 玻璃升级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天窗</t>
        </is>
      </c>
      <c r="B24" s="10" t="n">
        <v>15000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内饰升级包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地暖系统</t>
        </is>
      </c>
      <c r="B26" s="10" t="n">
        <v>20000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灯带 / 氛围照明系统</t>
        </is>
      </c>
      <c r="B27" s="9" t="n">
        <v>2500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中央空调</t>
        </is>
      </c>
      <c r="B28" s="10" t="n">
        <v>40000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挂机空调</t>
        </is>
      </c>
      <c r="B29" s="9" t="n">
        <v>4700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新风系统</t>
        </is>
      </c>
      <c r="B30" s="10" t="n">
        <v>15000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顶部太阳能光伏板</t>
        </is>
      </c>
      <c r="B31" s="9" t="n">
        <v>25000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储能电池系统</t>
        </is>
      </c>
      <c r="B32" s="10" t="n">
        <v>50000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逆变器 / 能源管理系统</t>
        </is>
      </c>
      <c r="B33" s="9" t="n">
        <v>20000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星链连接硬件及安装辅材</t>
        </is>
      </c>
      <c r="B34" s="10" t="n">
        <v>33200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国际通信系统</t>
        </is>
      </c>
      <c r="B35" s="9" t="n">
        <v>10800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LED 大屏幕</t>
        </is>
      </c>
      <c r="B36" s="10" t="n">
        <v>28000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投影仪</t>
        </is>
      </c>
      <c r="B37" s="9" t="n">
        <v>5800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3D 展示系统</t>
        </is>
      </c>
      <c r="B38" s="10" t="n">
        <v>25000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AI 智能全系统</t>
        </is>
      </c>
      <c r="B39" s="9" t="n">
        <v>100000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语音控制 / 设备联动全屋智能</t>
        </is>
      </c>
      <c r="B40" s="10" t="n">
        <v>20000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净水系统</t>
        </is>
      </c>
      <c r="B41" s="9" t="n">
        <v>10000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智能门锁</t>
        </is>
      </c>
      <c r="B42" s="10" t="n">
        <v>1600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监控 / 烟感 / 水浸报警基础包</t>
        </is>
      </c>
      <c r="B43" s="9" t="n">
        <v>4700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运输成本合计</t>
        </is>
      </c>
      <c r="B44" s="10" t="n">
        <v>96700</v>
      </c>
      <c r="C44" s="11" t="inlineStr">
        <is>
          <t>☐</t>
        </is>
      </c>
      <c r="D44" s="10">
        <f>IF($C44="☑",$B44,"")</f>
        <v/>
      </c>
      <c r="E44" s="4" t="inlineStr"/>
    </row>
  </sheetData>
  <autoFilter ref="A11:E44"/>
  <mergeCells count="1">
    <mergeCell ref="A1:E1"/>
  </mergeCells>
  <conditionalFormatting sqref="A12:E44">
    <cfRule type="expression" priority="1" dxfId="0">
      <formula>$C12="☑"</formula>
    </cfRule>
  </conditionalFormatting>
  <dataValidations count="1">
    <dataValidation sqref="C12:C44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ZK05 Terrace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620000</v>
      </c>
      <c r="B6" s="6">
        <f>IF(SUM(D12:D44)=0,"",SUM(D12:D44))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ZK05 Terrace Capsule</t>
        </is>
      </c>
      <c r="B9" s="9" t="n">
        <v>620000</v>
      </c>
      <c r="C9" s="2" t="inlineStr"/>
      <c r="D9" s="2" t="inlineStr"/>
      <c r="E9" s="2" t="inlineStr">
        <is>
          <t>Terrace, outdoor leisure and resort-use base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Terrace outdoor leisure package</t>
        </is>
      </c>
      <c r="B12" s="10" t="n">
        <v>85000</v>
      </c>
      <c r="C12" s="11" t="inlineStr">
        <is>
          <t>☐</t>
        </is>
      </c>
      <c r="D12" s="10">
        <f>IF($C12="☑",$B12,"")</f>
        <v/>
      </c>
      <c r="E12" s="4" t="inlineStr">
        <is>
          <t>Outdoor terrace, leisure seating, shading and landscape setup</t>
        </is>
      </c>
    </row>
    <row r="13" ht="26" customHeight="1">
      <c r="A13" s="2" t="inlineStr">
        <is>
          <t>Mobile deployment package for events</t>
        </is>
      </c>
      <c r="B13" s="9" t="n">
        <v>120000</v>
      </c>
      <c r="C13" s="12" t="inlineStr">
        <is>
          <t>☐</t>
        </is>
      </c>
      <c r="D13" s="9">
        <f>IF($C13="☑",$B13,"")</f>
        <v/>
      </c>
      <c r="E13" s="2" t="inlineStr">
        <is>
          <t>Towing, support legs, outdoor interfaces and quick relocation structure</t>
        </is>
      </c>
    </row>
    <row r="14" ht="26" customHeight="1">
      <c r="A14" s="4" t="inlineStr">
        <is>
          <t>Outdoor canopy / awning</t>
        </is>
      </c>
      <c r="B14" s="10" t="n">
        <v>28000</v>
      </c>
      <c r="C14" s="11" t="inlineStr">
        <is>
          <t>☐</t>
        </is>
      </c>
      <c r="D14" s="10">
        <f>IF($C14="☑",$B14,"")</f>
        <v/>
      </c>
      <c r="E14" s="4" t="inlineStr">
        <is>
          <t>Suitable for terraces, campsites and resort leisure areas</t>
        </is>
      </c>
    </row>
    <row r="15" ht="26" customHeight="1">
      <c r="A15" s="2" t="inlineStr">
        <is>
          <t>Outdoor furniture and landscape lighting</t>
        </is>
      </c>
      <c r="B15" s="9" t="n">
        <v>22000</v>
      </c>
      <c r="C15" s="12" t="inlineStr">
        <is>
          <t>☐</t>
        </is>
      </c>
      <c r="D15" s="9">
        <f>IF($C15="☑",$B15,"")</f>
        <v/>
      </c>
      <c r="E15" s="2" t="inlineStr">
        <is>
          <t>Terrace furniture, ambient lighting and landscape lights</t>
        </is>
      </c>
    </row>
    <row r="16" ht="26" customHeight="1">
      <c r="A16" s="4" t="inlineStr">
        <is>
          <t>Complete bathroom / shower</t>
        </is>
      </c>
      <c r="B16" s="10" t="n">
        <v>25000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Storage cabinet / wardrobe</t>
        </is>
      </c>
      <c r="B17" s="9" t="n">
        <v>7000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Bed and mattress set</t>
        </is>
      </c>
      <c r="B18" s="10" t="n">
        <v>9300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Second bed / second mattress</t>
        </is>
      </c>
      <c r="B19" s="9" t="n">
        <v>3200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Desk and chair set</t>
        </is>
      </c>
      <c r="B20" s="10" t="n">
        <v>2500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Appliance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Motorized curtains</t>
        </is>
      </c>
      <c r="B22" s="10" t="n">
        <v>5700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Low-E glass upgrade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Skylight</t>
        </is>
      </c>
      <c r="B24" s="10" t="n">
        <v>15000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Interior finish upgrade package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Floor heating system</t>
        </is>
      </c>
      <c r="B26" s="10" t="n">
        <v>20000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Light strip / ambient lighting system</t>
        </is>
      </c>
      <c r="B27" s="9" t="n">
        <v>2500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Central air conditioning</t>
        </is>
      </c>
      <c r="B28" s="10" t="n">
        <v>40000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Wall-mounted air conditioner</t>
        </is>
      </c>
      <c r="B29" s="9" t="n">
        <v>4700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Fresh air ventilation system</t>
        </is>
      </c>
      <c r="B30" s="10" t="n">
        <v>15000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Roof solar PV panels</t>
        </is>
      </c>
      <c r="B31" s="9" t="n">
        <v>25000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Energy storage battery system</t>
        </is>
      </c>
      <c r="B32" s="10" t="n">
        <v>50000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Inverter / energy management system</t>
        </is>
      </c>
      <c r="B33" s="9" t="n">
        <v>20000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Starlink hardware and installation accessories</t>
        </is>
      </c>
      <c r="B34" s="10" t="n">
        <v>33200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International communication system</t>
        </is>
      </c>
      <c r="B35" s="9" t="n">
        <v>10800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LED display screen</t>
        </is>
      </c>
      <c r="B36" s="10" t="n">
        <v>28000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Projector</t>
        </is>
      </c>
      <c r="B37" s="9" t="n">
        <v>5800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3D presentation system</t>
        </is>
      </c>
      <c r="B38" s="10" t="n">
        <v>25000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AI smart system</t>
        </is>
      </c>
      <c r="B39" s="9" t="n">
        <v>100000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voice control / device-linked smart system</t>
        </is>
      </c>
      <c r="B40" s="10" t="n">
        <v>20000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Water purification system</t>
        </is>
      </c>
      <c r="B41" s="9" t="n">
        <v>10000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Smart door lock</t>
        </is>
      </c>
      <c r="B42" s="10" t="n">
        <v>1600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Basic security package</t>
        </is>
      </c>
      <c r="B43" s="9" t="n">
        <v>4700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Estimated logistics cost</t>
        </is>
      </c>
      <c r="B44" s="10" t="n">
        <v>96700</v>
      </c>
      <c r="C44" s="11" t="inlineStr">
        <is>
          <t>☐</t>
        </is>
      </c>
      <c r="D44" s="10">
        <f>IF($C44="☑",$B44,"")</f>
        <v/>
      </c>
      <c r="E44" s="4" t="inlineStr"/>
    </row>
  </sheetData>
  <autoFilter ref="A11:E44"/>
  <mergeCells count="1">
    <mergeCell ref="A1:E1"/>
  </mergeCells>
  <conditionalFormatting sqref="A12:E44">
    <cfRule type="expression" priority="1" dxfId="0">
      <formula>$C12="☑"</formula>
    </cfRule>
  </conditionalFormatting>
  <dataValidations count="1">
    <dataValidation sqref="C12:C44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