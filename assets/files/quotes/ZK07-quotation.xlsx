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报价单" sheetId="1" state="visible" r:id="rId1"/>
    <sheet xmlns:r="http://schemas.openxmlformats.org/officeDocument/2006/relationships" name="English Quotation" sheetId="2" state="visible" r:id="rId2"/>
  </sheets>
  <definedNames>
    <definedName name="_xlnm._FilterDatabase" localSheetId="0" hidden="1">'中文报价单'!$A$11:$E$44</definedName>
    <definedName name="_xlnm._FilterDatabase" localSheetId="1" hidden="1">'English Quotation'!$A$11:$E$44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¥#,##0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color rgb="000D4ED8"/>
      <sz val="12"/>
    </font>
    <font>
      <name val="Microsoft YaHei"/>
      <color rgb="000B1220"/>
      <sz val="10"/>
    </font>
    <font>
      <name val="Microsoft YaHei"/>
      <b val="1"/>
      <color rgb="00FFFFFF"/>
      <sz val="18"/>
    </font>
    <font>
      <name val="Microsoft YaHei"/>
      <b val="1"/>
      <color rgb="0053657E"/>
      <sz val="10"/>
    </font>
    <font>
      <name val="Segoe UI Symbol"/>
      <b val="1"/>
      <color rgb="000D4ED8"/>
      <sz val="13"/>
    </font>
  </fonts>
  <fills count="6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4F8FF"/>
      </patternFill>
    </fill>
    <fill>
      <patternFill patternType="solid">
        <fgColor rgb="00126BFF"/>
      </patternFill>
    </fill>
    <fill>
      <patternFill patternType="solid">
        <fgColor rgb="00FAFCFF"/>
      </patternFill>
    </fill>
  </fills>
  <borders count="2">
    <border>
      <left/>
      <right/>
      <top/>
      <bottom/>
      <diagonal/>
    </border>
    <border>
      <left style="thin">
        <color rgb="00D7E2F1"/>
      </left>
      <right style="thin">
        <color rgb="00D7E2F1"/>
      </right>
      <top style="thin">
        <color rgb="00D7E2F1"/>
      </top>
      <bottom style="thin">
        <color rgb="00D7E2F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EAF2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18" customWidth="1" min="4" max="4"/>
    <col width="22" customWidth="1" min="5" max="5"/>
  </cols>
  <sheetData>
    <row r="1" ht="38" customHeight="1">
      <c r="A1" s="1" t="inlineStr">
        <is>
          <t>ZK07 商业服务舱 中文报价单</t>
        </is>
      </c>
      <c r="B1" s="2" t="n"/>
      <c r="C1" s="2" t="n"/>
      <c r="D1" s="2" t="n"/>
      <c r="E1" s="2" t="n"/>
    </row>
    <row r="2" ht="26" customHeight="1">
      <c r="A2" s="3" t="inlineStr"/>
      <c r="B2" s="4" t="n"/>
      <c r="C2" s="3" t="n"/>
      <c r="D2" s="4" t="n"/>
      <c r="E2" s="4" t="n"/>
    </row>
    <row r="3" ht="26" customHeight="1">
      <c r="A3" s="3" t="inlineStr">
        <is>
          <t>公司</t>
        </is>
      </c>
      <c r="B3" s="4" t="inlineStr">
        <is>
          <t>中科国际 Zhongke International</t>
        </is>
      </c>
      <c r="C3" s="3" t="inlineStr">
        <is>
          <t>联系人</t>
        </is>
      </c>
      <c r="D3" s="4" t="inlineStr">
        <is>
          <t>杨涛峰 / 13319274381</t>
        </is>
      </c>
      <c r="E3" s="4" t="inlineStr"/>
    </row>
    <row r="4" ht="26" customHeight="1">
      <c r="A4" s="3" t="inlineStr">
        <is>
          <t>地址</t>
        </is>
      </c>
      <c r="B4" s="4" t="inlineStr">
        <is>
          <t>香港尖沙咀麼地道75号南洋中心2座7楼</t>
        </is>
      </c>
      <c r="C4" s="3" t="inlineStr">
        <is>
          <t>币种</t>
        </is>
      </c>
      <c r="D4" s="4" t="inlineStr">
        <is>
          <t>人民币 RMB</t>
        </is>
      </c>
      <c r="E4" s="4" t="inlineStr"/>
    </row>
    <row r="5" ht="28" customHeight="1">
      <c r="A5" s="5" t="inlineStr">
        <is>
          <t>基础价格</t>
        </is>
      </c>
      <c r="B5" s="5" t="inlineStr">
        <is>
          <t>选配合计</t>
        </is>
      </c>
      <c r="C5" s="5" t="inlineStr">
        <is>
          <t>报价合计</t>
        </is>
      </c>
      <c r="D5" s="5" t="inlineStr">
        <is>
          <t>合同价为准</t>
        </is>
      </c>
      <c r="E5" s="5" t="inlineStr"/>
    </row>
    <row r="6" ht="34" customHeight="1">
      <c r="A6" s="6" t="n">
        <v>200000</v>
      </c>
      <c r="B6" s="6">
        <f>IF(SUM(D12:D44)=0,"",SUM(D12:D44))</f>
        <v/>
      </c>
      <c r="C6" s="6">
        <f>IF(SUM(A6:B6)=0,"",SUM(A6:B6))</f>
        <v/>
      </c>
      <c r="D6" s="7" t="inlineStr">
        <is>
          <t>人民币 RMB</t>
        </is>
      </c>
      <c r="E6" s="7" t="inlineStr"/>
    </row>
    <row r="7" ht="26" customHeight="1">
      <c r="A7" s="2" t="inlineStr"/>
      <c r="B7" s="2" t="n"/>
      <c r="C7" s="2" t="n"/>
      <c r="D7" s="2" t="n"/>
      <c r="E7" s="2" t="n"/>
    </row>
    <row r="8" ht="30" customHeight="1">
      <c r="A8" s="8" t="inlineStr">
        <is>
          <t>基础项目</t>
        </is>
      </c>
      <c r="B8" s="8" t="inlineStr">
        <is>
          <t>价格</t>
        </is>
      </c>
      <c r="C8" s="8" t="inlineStr"/>
      <c r="D8" s="8" t="inlineStr"/>
      <c r="E8" s="8" t="inlineStr">
        <is>
          <t>备注</t>
        </is>
      </c>
    </row>
    <row r="9" ht="26" customHeight="1">
      <c r="A9" s="2" t="inlineStr">
        <is>
          <t>ZK07 商业服务舱</t>
        </is>
      </c>
      <c r="B9" s="9" t="n">
        <v>200000</v>
      </c>
      <c r="C9" s="2" t="inlineStr"/>
      <c r="D9" s="2" t="inlineStr"/>
      <c r="E9" s="2" t="inlineStr">
        <is>
          <t>轻量商业运营舱，适合售卖窗口、快闪商业和服务点</t>
        </is>
      </c>
    </row>
    <row r="10" ht="26" customHeight="1">
      <c r="A10" s="4" t="inlineStr"/>
      <c r="B10" s="4" t="inlineStr"/>
      <c r="C10" s="4" t="inlineStr"/>
      <c r="D10" s="4" t="inlineStr"/>
      <c r="E10" s="4" t="inlineStr"/>
    </row>
    <row r="11" ht="30" customHeight="1">
      <c r="A11" s="8" t="inlineStr">
        <is>
          <t>选配项目</t>
        </is>
      </c>
      <c r="B11" s="8" t="inlineStr">
        <is>
          <t>价格</t>
        </is>
      </c>
      <c r="C11" s="8" t="inlineStr">
        <is>
          <t>勾选</t>
        </is>
      </c>
      <c r="D11" s="8" t="inlineStr">
        <is>
          <t>计入金额</t>
        </is>
      </c>
      <c r="E11" s="8" t="inlineStr">
        <is>
          <t>备注</t>
        </is>
      </c>
    </row>
    <row r="12" ht="26" customHeight="1">
      <c r="A12" s="4" t="inlineStr">
        <is>
          <t>商业窗口与折叠柜台包</t>
        </is>
      </c>
      <c r="B12" s="10" t="n">
        <v>35000</v>
      </c>
      <c r="C12" s="11" t="inlineStr">
        <is>
          <t>☐</t>
        </is>
      </c>
      <c r="D12" s="10">
        <f>IF($C12="☑",$B12,"")</f>
        <v/>
      </c>
      <c r="E12" s="4" t="inlineStr">
        <is>
          <t>外摆售卖窗口、折叠柜台和营业开口</t>
        </is>
      </c>
    </row>
    <row r="13" ht="26" customHeight="1">
      <c r="A13" s="2" t="inlineStr">
        <is>
          <t>发光招牌 / 品牌门头</t>
        </is>
      </c>
      <c r="B13" s="9" t="n">
        <v>25000</v>
      </c>
      <c r="C13" s="12" t="inlineStr">
        <is>
          <t>☐</t>
        </is>
      </c>
      <c r="D13" s="9">
        <f>IF($C13="☑",$B13,"")</f>
        <v/>
      </c>
      <c r="E13" s="2" t="inlineStr">
        <is>
          <t>景区、商业街或展会品牌识别</t>
        </is>
      </c>
    </row>
    <row r="14" ht="26" customHeight="1">
      <c r="A14" s="4" t="inlineStr">
        <is>
          <t>POS 收银与网络包</t>
        </is>
      </c>
      <c r="B14" s="10" t="n">
        <v>18000</v>
      </c>
      <c r="C14" s="11" t="inlineStr">
        <is>
          <t>☐</t>
        </is>
      </c>
      <c r="D14" s="10">
        <f>IF($C14="☑",$B14,"")</f>
        <v/>
      </c>
      <c r="E14" s="4" t="inlineStr">
        <is>
          <t>POS 位、收银网络和基础布线</t>
        </is>
      </c>
    </row>
    <row r="15" ht="26" customHeight="1">
      <c r="A15" s="2" t="inlineStr">
        <is>
          <t>水吧操作台 / 展示柜包</t>
        </is>
      </c>
      <c r="B15" s="9" t="n">
        <v>45000</v>
      </c>
      <c r="C15" s="12" t="inlineStr">
        <is>
          <t>☐</t>
        </is>
      </c>
      <c r="D15" s="9">
        <f>IF($C15="☑",$B15,"")</f>
        <v/>
      </c>
      <c r="E15" s="2" t="inlineStr">
        <is>
          <t>水吧操作台、展示柜、冰箱及储物</t>
        </is>
      </c>
    </row>
    <row r="16" ht="26" customHeight="1">
      <c r="A16" s="4" t="inlineStr">
        <is>
          <t>全套卫浴 / 带洗浴</t>
        </is>
      </c>
      <c r="B16" s="10" t="n">
        <v>25000</v>
      </c>
      <c r="C16" s="11" t="inlineStr">
        <is>
          <t>☐</t>
        </is>
      </c>
      <c r="D16" s="10">
        <f>IF($C16="☑",$B16,"")</f>
        <v/>
      </c>
      <c r="E16" s="4" t="inlineStr"/>
    </row>
    <row r="17" ht="26" customHeight="1">
      <c r="A17" s="2" t="inlineStr">
        <is>
          <t>储物柜（衣物收纳）</t>
        </is>
      </c>
      <c r="B17" s="9" t="n">
        <v>7000</v>
      </c>
      <c r="C17" s="12" t="inlineStr">
        <is>
          <t>☐</t>
        </is>
      </c>
      <c r="D17" s="9">
        <f>IF($C17="☑",$B17,"")</f>
        <v/>
      </c>
      <c r="E17" s="2" t="inlineStr"/>
    </row>
    <row r="18" ht="26" customHeight="1">
      <c r="A18" s="4" t="inlineStr">
        <is>
          <t>床及床垫（单套）</t>
        </is>
      </c>
      <c r="B18" s="10" t="n">
        <v>9300</v>
      </c>
      <c r="C18" s="11" t="inlineStr">
        <is>
          <t>☐</t>
        </is>
      </c>
      <c r="D18" s="10">
        <f>IF($C18="☑",$B18,"")</f>
        <v/>
      </c>
      <c r="E18" s="4" t="inlineStr"/>
    </row>
    <row r="19" ht="26" customHeight="1">
      <c r="A19" s="2" t="inlineStr">
        <is>
          <t>第二床位 / 第二床垫</t>
        </is>
      </c>
      <c r="B19" s="9" t="n">
        <v>3200</v>
      </c>
      <c r="C19" s="12" t="inlineStr">
        <is>
          <t>☐</t>
        </is>
      </c>
      <c r="D19" s="9">
        <f>IF($C19="☑",$B19,"")</f>
        <v/>
      </c>
      <c r="E19" s="2" t="inlineStr"/>
    </row>
    <row r="20" ht="26" customHeight="1">
      <c r="A20" s="4" t="inlineStr">
        <is>
          <t>桌椅套装</t>
        </is>
      </c>
      <c r="B20" s="10" t="n">
        <v>2500</v>
      </c>
      <c r="C20" s="11" t="inlineStr">
        <is>
          <t>☐</t>
        </is>
      </c>
      <c r="D20" s="10">
        <f>IF($C20="☑",$B20,"")</f>
        <v/>
      </c>
      <c r="E20" s="4" t="inlineStr"/>
    </row>
    <row r="21" ht="26" customHeight="1">
      <c r="A21" s="2" t="inlineStr">
        <is>
          <t>电器包</t>
        </is>
      </c>
      <c r="B21" s="9" t="n">
        <v>40000</v>
      </c>
      <c r="C21" s="12" t="inlineStr">
        <is>
          <t>☐</t>
        </is>
      </c>
      <c r="D21" s="9">
        <f>IF($C21="☑",$B21,"")</f>
        <v/>
      </c>
      <c r="E21" s="2" t="inlineStr"/>
    </row>
    <row r="22" ht="26" customHeight="1">
      <c r="A22" s="4" t="inlineStr">
        <is>
          <t>电动窗帘</t>
        </is>
      </c>
      <c r="B22" s="10" t="n">
        <v>5700</v>
      </c>
      <c r="C22" s="11" t="inlineStr">
        <is>
          <t>☐</t>
        </is>
      </c>
      <c r="D22" s="10">
        <f>IF($C22="☑",$B22,"")</f>
        <v/>
      </c>
      <c r="E22" s="4" t="inlineStr"/>
    </row>
    <row r="23" ht="26" customHeight="1">
      <c r="A23" s="2" t="inlineStr">
        <is>
          <t>Low-E 玻璃升级</t>
        </is>
      </c>
      <c r="B23" s="9" t="n">
        <v>20000</v>
      </c>
      <c r="C23" s="12" t="inlineStr">
        <is>
          <t>☐</t>
        </is>
      </c>
      <c r="D23" s="9">
        <f>IF($C23="☑",$B23,"")</f>
        <v/>
      </c>
      <c r="E23" s="2" t="inlineStr"/>
    </row>
    <row r="24" ht="26" customHeight="1">
      <c r="A24" s="4" t="inlineStr">
        <is>
          <t>天窗</t>
        </is>
      </c>
      <c r="B24" s="10" t="n">
        <v>15000</v>
      </c>
      <c r="C24" s="11" t="inlineStr">
        <is>
          <t>☐</t>
        </is>
      </c>
      <c r="D24" s="10">
        <f>IF($C24="☑",$B24,"")</f>
        <v/>
      </c>
      <c r="E24" s="4" t="inlineStr"/>
    </row>
    <row r="25" ht="26" customHeight="1">
      <c r="A25" s="2" t="inlineStr">
        <is>
          <t>内饰升级包</t>
        </is>
      </c>
      <c r="B25" s="9" t="n">
        <v>40000</v>
      </c>
      <c r="C25" s="12" t="inlineStr">
        <is>
          <t>☐</t>
        </is>
      </c>
      <c r="D25" s="9">
        <f>IF($C25="☑",$B25,"")</f>
        <v/>
      </c>
      <c r="E25" s="2" t="inlineStr"/>
    </row>
    <row r="26" ht="26" customHeight="1">
      <c r="A26" s="4" t="inlineStr">
        <is>
          <t>地暖系统</t>
        </is>
      </c>
      <c r="B26" s="10" t="n">
        <v>20000</v>
      </c>
      <c r="C26" s="11" t="inlineStr">
        <is>
          <t>☐</t>
        </is>
      </c>
      <c r="D26" s="10">
        <f>IF($C26="☑",$B26,"")</f>
        <v/>
      </c>
      <c r="E26" s="4" t="inlineStr"/>
    </row>
    <row r="27" ht="26" customHeight="1">
      <c r="A27" s="2" t="inlineStr">
        <is>
          <t>灯带 / 氛围照明系统</t>
        </is>
      </c>
      <c r="B27" s="9" t="n">
        <v>2500</v>
      </c>
      <c r="C27" s="12" t="inlineStr">
        <is>
          <t>☐</t>
        </is>
      </c>
      <c r="D27" s="9">
        <f>IF($C27="☑",$B27,"")</f>
        <v/>
      </c>
      <c r="E27" s="2" t="inlineStr"/>
    </row>
    <row r="28" ht="26" customHeight="1">
      <c r="A28" s="4" t="inlineStr">
        <is>
          <t>中央空调</t>
        </is>
      </c>
      <c r="B28" s="10" t="n">
        <v>40000</v>
      </c>
      <c r="C28" s="11" t="inlineStr">
        <is>
          <t>☐</t>
        </is>
      </c>
      <c r="D28" s="10">
        <f>IF($C28="☑",$B28,"")</f>
        <v/>
      </c>
      <c r="E28" s="4" t="inlineStr"/>
    </row>
    <row r="29" ht="26" customHeight="1">
      <c r="A29" s="2" t="inlineStr">
        <is>
          <t>挂机空调</t>
        </is>
      </c>
      <c r="B29" s="9" t="n">
        <v>4700</v>
      </c>
      <c r="C29" s="12" t="inlineStr">
        <is>
          <t>☐</t>
        </is>
      </c>
      <c r="D29" s="9">
        <f>IF($C29="☑",$B29,"")</f>
        <v/>
      </c>
      <c r="E29" s="2" t="inlineStr"/>
    </row>
    <row r="30" ht="26" customHeight="1">
      <c r="A30" s="4" t="inlineStr">
        <is>
          <t>新风系统</t>
        </is>
      </c>
      <c r="B30" s="10" t="n">
        <v>15000</v>
      </c>
      <c r="C30" s="11" t="inlineStr">
        <is>
          <t>☐</t>
        </is>
      </c>
      <c r="D30" s="10">
        <f>IF($C30="☑",$B30,"")</f>
        <v/>
      </c>
      <c r="E30" s="4" t="inlineStr"/>
    </row>
    <row r="31" ht="26" customHeight="1">
      <c r="A31" s="2" t="inlineStr">
        <is>
          <t>顶部太阳能光伏板</t>
        </is>
      </c>
      <c r="B31" s="9" t="n">
        <v>25000</v>
      </c>
      <c r="C31" s="12" t="inlineStr">
        <is>
          <t>☐</t>
        </is>
      </c>
      <c r="D31" s="9">
        <f>IF($C31="☑",$B31,"")</f>
        <v/>
      </c>
      <c r="E31" s="2" t="inlineStr"/>
    </row>
    <row r="32" ht="26" customHeight="1">
      <c r="A32" s="4" t="inlineStr">
        <is>
          <t>储能电池系统</t>
        </is>
      </c>
      <c r="B32" s="10" t="n">
        <v>50000</v>
      </c>
      <c r="C32" s="11" t="inlineStr">
        <is>
          <t>☐</t>
        </is>
      </c>
      <c r="D32" s="10">
        <f>IF($C32="☑",$B32,"")</f>
        <v/>
      </c>
      <c r="E32" s="4" t="inlineStr"/>
    </row>
    <row r="33" ht="26" customHeight="1">
      <c r="A33" s="2" t="inlineStr">
        <is>
          <t>逆变器 / 能源管理系统</t>
        </is>
      </c>
      <c r="B33" s="9" t="n">
        <v>20000</v>
      </c>
      <c r="C33" s="12" t="inlineStr">
        <is>
          <t>☐</t>
        </is>
      </c>
      <c r="D33" s="9">
        <f>IF($C33="☑",$B33,"")</f>
        <v/>
      </c>
      <c r="E33" s="2" t="inlineStr"/>
    </row>
    <row r="34" ht="26" customHeight="1">
      <c r="A34" s="4" t="inlineStr">
        <is>
          <t>星链连接硬件及安装辅材</t>
        </is>
      </c>
      <c r="B34" s="10" t="n">
        <v>33200</v>
      </c>
      <c r="C34" s="11" t="inlineStr">
        <is>
          <t>☐</t>
        </is>
      </c>
      <c r="D34" s="10">
        <f>IF($C34="☑",$B34,"")</f>
        <v/>
      </c>
      <c r="E34" s="4" t="inlineStr"/>
    </row>
    <row r="35" ht="26" customHeight="1">
      <c r="A35" s="2" t="inlineStr">
        <is>
          <t>国际通信系统</t>
        </is>
      </c>
      <c r="B35" s="9" t="n">
        <v>10800</v>
      </c>
      <c r="C35" s="12" t="inlineStr">
        <is>
          <t>☐</t>
        </is>
      </c>
      <c r="D35" s="9">
        <f>IF($C35="☑",$B35,"")</f>
        <v/>
      </c>
      <c r="E35" s="2" t="inlineStr"/>
    </row>
    <row r="36" ht="26" customHeight="1">
      <c r="A36" s="4" t="inlineStr">
        <is>
          <t>LED 大屏幕</t>
        </is>
      </c>
      <c r="B36" s="10" t="n">
        <v>28000</v>
      </c>
      <c r="C36" s="11" t="inlineStr">
        <is>
          <t>☐</t>
        </is>
      </c>
      <c r="D36" s="10">
        <f>IF($C36="☑",$B36,"")</f>
        <v/>
      </c>
      <c r="E36" s="4" t="inlineStr"/>
    </row>
    <row r="37" ht="26" customHeight="1">
      <c r="A37" s="2" t="inlineStr">
        <is>
          <t>投影仪</t>
        </is>
      </c>
      <c r="B37" s="9" t="n">
        <v>5800</v>
      </c>
      <c r="C37" s="12" t="inlineStr">
        <is>
          <t>☐</t>
        </is>
      </c>
      <c r="D37" s="9">
        <f>IF($C37="☑",$B37,"")</f>
        <v/>
      </c>
      <c r="E37" s="2" t="inlineStr"/>
    </row>
    <row r="38" ht="26" customHeight="1">
      <c r="A38" s="4" t="inlineStr">
        <is>
          <t>3D 展示系统</t>
        </is>
      </c>
      <c r="B38" s="10" t="n">
        <v>25000</v>
      </c>
      <c r="C38" s="11" t="inlineStr">
        <is>
          <t>☐</t>
        </is>
      </c>
      <c r="D38" s="10">
        <f>IF($C38="☑",$B38,"")</f>
        <v/>
      </c>
      <c r="E38" s="4" t="inlineStr"/>
    </row>
    <row r="39" ht="26" customHeight="1">
      <c r="A39" s="2" t="inlineStr">
        <is>
          <t>AI 智能全系统</t>
        </is>
      </c>
      <c r="B39" s="9" t="n">
        <v>100000</v>
      </c>
      <c r="C39" s="12" t="inlineStr">
        <is>
          <t>☐</t>
        </is>
      </c>
      <c r="D39" s="9">
        <f>IF($C39="☑",$B39,"")</f>
        <v/>
      </c>
      <c r="E39" s="2" t="inlineStr"/>
    </row>
    <row r="40" ht="26" customHeight="1">
      <c r="A40" s="4" t="inlineStr">
        <is>
          <t>AI 语音控制 / 设备联动全屋智能</t>
        </is>
      </c>
      <c r="B40" s="10" t="n">
        <v>20000</v>
      </c>
      <c r="C40" s="11" t="inlineStr">
        <is>
          <t>☐</t>
        </is>
      </c>
      <c r="D40" s="10">
        <f>IF($C40="☑",$B40,"")</f>
        <v/>
      </c>
      <c r="E40" s="4" t="inlineStr"/>
    </row>
    <row r="41" ht="26" customHeight="1">
      <c r="A41" s="2" t="inlineStr">
        <is>
          <t>净水系统</t>
        </is>
      </c>
      <c r="B41" s="9" t="n">
        <v>10000</v>
      </c>
      <c r="C41" s="12" t="inlineStr">
        <is>
          <t>☐</t>
        </is>
      </c>
      <c r="D41" s="9">
        <f>IF($C41="☑",$B41,"")</f>
        <v/>
      </c>
      <c r="E41" s="2" t="inlineStr"/>
    </row>
    <row r="42" ht="26" customHeight="1">
      <c r="A42" s="4" t="inlineStr">
        <is>
          <t>智能门锁</t>
        </is>
      </c>
      <c r="B42" s="10" t="n">
        <v>1600</v>
      </c>
      <c r="C42" s="11" t="inlineStr">
        <is>
          <t>☐</t>
        </is>
      </c>
      <c r="D42" s="10">
        <f>IF($C42="☑",$B42,"")</f>
        <v/>
      </c>
      <c r="E42" s="4" t="inlineStr"/>
    </row>
    <row r="43" ht="26" customHeight="1">
      <c r="A43" s="2" t="inlineStr">
        <is>
          <t>监控 / 烟感 / 水浸报警基础包</t>
        </is>
      </c>
      <c r="B43" s="9" t="n">
        <v>4700</v>
      </c>
      <c r="C43" s="12" t="inlineStr">
        <is>
          <t>☐</t>
        </is>
      </c>
      <c r="D43" s="9">
        <f>IF($C43="☑",$B43,"")</f>
        <v/>
      </c>
      <c r="E43" s="2" t="inlineStr"/>
    </row>
    <row r="44" ht="26" customHeight="1">
      <c r="A44" s="4" t="inlineStr">
        <is>
          <t>运输成本合计</t>
        </is>
      </c>
      <c r="B44" s="10" t="n">
        <v>96700</v>
      </c>
      <c r="C44" s="11" t="inlineStr">
        <is>
          <t>☐</t>
        </is>
      </c>
      <c r="D44" s="10">
        <f>IF($C44="☑",$B44,"")</f>
        <v/>
      </c>
      <c r="E44" s="4" t="inlineStr"/>
    </row>
  </sheetData>
  <autoFilter ref="A11:E44"/>
  <mergeCells count="1">
    <mergeCell ref="A1:E1"/>
  </mergeCells>
  <conditionalFormatting sqref="A12:E44">
    <cfRule type="expression" priority="1" dxfId="0">
      <formula>$C12="☑"</formula>
    </cfRule>
  </conditionalFormatting>
  <dataValidations count="1">
    <dataValidation sqref="C12:C44" showDropDown="0" showInputMessage="0" showErrorMessage="0" allowBlank="0" errorTitle="Invalid value" error="Please select from the list" promptTitle="Checkbox" prompt="Select check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18" customWidth="1" min="4" max="4"/>
    <col width="22" customWidth="1" min="5" max="5"/>
  </cols>
  <sheetData>
    <row r="1" ht="38" customHeight="1">
      <c r="A1" s="1" t="inlineStr">
        <is>
          <t>ZK07 Commercial Service Capsule English Quotation</t>
        </is>
      </c>
      <c r="B1" s="2" t="n"/>
      <c r="C1" s="2" t="n"/>
      <c r="D1" s="2" t="n"/>
      <c r="E1" s="2" t="n"/>
    </row>
    <row r="2" ht="26" customHeight="1">
      <c r="A2" s="3" t="inlineStr"/>
      <c r="B2" s="4" t="n"/>
      <c r="C2" s="3" t="n"/>
      <c r="D2" s="4" t="n"/>
      <c r="E2" s="4" t="n"/>
    </row>
    <row r="3" ht="26" customHeight="1">
      <c r="A3" s="3" t="inlineStr">
        <is>
          <t>Company</t>
        </is>
      </c>
      <c r="B3" s="4" t="inlineStr">
        <is>
          <t>中科国际 Zhongke International</t>
        </is>
      </c>
      <c r="C3" s="3" t="inlineStr">
        <is>
          <t>Contact</t>
        </is>
      </c>
      <c r="D3" s="4" t="inlineStr">
        <is>
          <t>杨涛峰 / 13319274381</t>
        </is>
      </c>
      <c r="E3" s="4" t="inlineStr"/>
    </row>
    <row r="4" ht="26" customHeight="1">
      <c r="A4" s="3" t="inlineStr">
        <is>
          <t>Address</t>
        </is>
      </c>
      <c r="B4" s="4" t="inlineStr">
        <is>
          <t>香港尖沙咀麼地道75号南洋中心2座7楼</t>
        </is>
      </c>
      <c r="C4" s="3" t="inlineStr">
        <is>
          <t>Currency</t>
        </is>
      </c>
      <c r="D4" s="4" t="inlineStr">
        <is>
          <t>RMB</t>
        </is>
      </c>
      <c r="E4" s="4" t="inlineStr"/>
    </row>
    <row r="5" ht="28" customHeight="1">
      <c r="A5" s="5" t="inlineStr">
        <is>
          <t>Base Price</t>
        </is>
      </c>
      <c r="B5" s="5" t="inlineStr">
        <is>
          <t>Options Total</t>
        </is>
      </c>
      <c r="C5" s="5" t="inlineStr">
        <is>
          <t>Quotation Total</t>
        </is>
      </c>
      <c r="D5" s="5" t="inlineStr">
        <is>
          <t>Contract price prevails</t>
        </is>
      </c>
      <c r="E5" s="5" t="inlineStr"/>
    </row>
    <row r="6" ht="34" customHeight="1">
      <c r="A6" s="6" t="n">
        <v>200000</v>
      </c>
      <c r="B6" s="6">
        <f>IF(SUM(D12:D44)=0,"",SUM(D12:D44))</f>
        <v/>
      </c>
      <c r="C6" s="6">
        <f>IF(SUM(A6:B6)=0,"",SUM(A6:B6))</f>
        <v/>
      </c>
      <c r="D6" s="7" t="inlineStr">
        <is>
          <t>RMB</t>
        </is>
      </c>
      <c r="E6" s="7" t="inlineStr"/>
    </row>
    <row r="7" ht="26" customHeight="1">
      <c r="A7" s="2" t="inlineStr"/>
      <c r="B7" s="2" t="n"/>
      <c r="C7" s="2" t="n"/>
      <c r="D7" s="2" t="n"/>
      <c r="E7" s="2" t="n"/>
    </row>
    <row r="8" ht="30" customHeight="1">
      <c r="A8" s="8" t="inlineStr">
        <is>
          <t>Base Item</t>
        </is>
      </c>
      <c r="B8" s="8" t="inlineStr">
        <is>
          <t>Price</t>
        </is>
      </c>
      <c r="C8" s="8" t="inlineStr"/>
      <c r="D8" s="8" t="inlineStr"/>
      <c r="E8" s="8" t="inlineStr">
        <is>
          <t>Remark</t>
        </is>
      </c>
    </row>
    <row r="9" ht="26" customHeight="1">
      <c r="A9" s="2" t="inlineStr">
        <is>
          <t>ZK07 Commercial Service Capsule</t>
        </is>
      </c>
      <c r="B9" s="9" t="n">
        <v>200000</v>
      </c>
      <c r="C9" s="2" t="inlineStr"/>
      <c r="D9" s="2" t="inlineStr"/>
      <c r="E9" s="2" t="inlineStr">
        <is>
          <t>Light commercial operation capsule for service windows, pop-up retail and service points</t>
        </is>
      </c>
    </row>
    <row r="10" ht="26" customHeight="1">
      <c r="A10" s="4" t="inlineStr"/>
      <c r="B10" s="4" t="inlineStr"/>
      <c r="C10" s="4" t="inlineStr"/>
      <c r="D10" s="4" t="inlineStr"/>
      <c r="E10" s="4" t="inlineStr"/>
    </row>
    <row r="11" ht="30" customHeight="1">
      <c r="A11" s="8" t="inlineStr">
        <is>
          <t>Optional Items</t>
        </is>
      </c>
      <c r="B11" s="8" t="inlineStr">
        <is>
          <t>Price</t>
        </is>
      </c>
      <c r="C11" s="8" t="inlineStr">
        <is>
          <t>Select</t>
        </is>
      </c>
      <c r="D11" s="8" t="inlineStr">
        <is>
          <t>Included Amount</t>
        </is>
      </c>
      <c r="E11" s="8" t="inlineStr">
        <is>
          <t>Remark</t>
        </is>
      </c>
    </row>
    <row r="12" ht="26" customHeight="1">
      <c r="A12" s="4" t="inlineStr">
        <is>
          <t>Service window and folding counter package</t>
        </is>
      </c>
      <c r="B12" s="10" t="n">
        <v>35000</v>
      </c>
      <c r="C12" s="11" t="inlineStr">
        <is>
          <t>☐</t>
        </is>
      </c>
      <c r="D12" s="10">
        <f>IF($C12="☑",$B12,"")</f>
        <v/>
      </c>
      <c r="E12" s="4" t="inlineStr">
        <is>
          <t>Outdoor-facing service window, folding counter and commercial opening</t>
        </is>
      </c>
    </row>
    <row r="13" ht="26" customHeight="1">
      <c r="A13" s="2" t="inlineStr">
        <is>
          <t>Illuminated signage / branded fascia</t>
        </is>
      </c>
      <c r="B13" s="9" t="n">
        <v>25000</v>
      </c>
      <c r="C13" s="12" t="inlineStr">
        <is>
          <t>☐</t>
        </is>
      </c>
      <c r="D13" s="9">
        <f>IF($C13="☑",$B13,"")</f>
        <v/>
      </c>
      <c r="E13" s="2" t="inlineStr">
        <is>
          <t>Brand identity for scenic areas, retail streets or exhibitions</t>
        </is>
      </c>
    </row>
    <row r="14" ht="26" customHeight="1">
      <c r="A14" s="4" t="inlineStr">
        <is>
          <t>POS and network package</t>
        </is>
      </c>
      <c r="B14" s="10" t="n">
        <v>18000</v>
      </c>
      <c r="C14" s="11" t="inlineStr">
        <is>
          <t>☐</t>
        </is>
      </c>
      <c r="D14" s="10">
        <f>IF($C14="☑",$B14,"")</f>
        <v/>
      </c>
      <c r="E14" s="4" t="inlineStr">
        <is>
          <t>POS location, cashier network and basic wiring</t>
        </is>
      </c>
    </row>
    <row r="15" ht="26" customHeight="1">
      <c r="A15" s="2" t="inlineStr">
        <is>
          <t>Beverage counter / display cabinet package</t>
        </is>
      </c>
      <c r="B15" s="9" t="n">
        <v>45000</v>
      </c>
      <c r="C15" s="12" t="inlineStr">
        <is>
          <t>☐</t>
        </is>
      </c>
      <c r="D15" s="9">
        <f>IF($C15="☑",$B15,"")</f>
        <v/>
      </c>
      <c r="E15" s="2" t="inlineStr">
        <is>
          <t>Beverage counter, display cabinet, refrigerator and storage</t>
        </is>
      </c>
    </row>
    <row r="16" ht="26" customHeight="1">
      <c r="A16" s="4" t="inlineStr">
        <is>
          <t>Complete bathroom / shower</t>
        </is>
      </c>
      <c r="B16" s="10" t="n">
        <v>25000</v>
      </c>
      <c r="C16" s="11" t="inlineStr">
        <is>
          <t>☐</t>
        </is>
      </c>
      <c r="D16" s="10">
        <f>IF($C16="☑",$B16,"")</f>
        <v/>
      </c>
      <c r="E16" s="4" t="inlineStr"/>
    </row>
    <row r="17" ht="26" customHeight="1">
      <c r="A17" s="2" t="inlineStr">
        <is>
          <t>Storage cabinet / wardrobe</t>
        </is>
      </c>
      <c r="B17" s="9" t="n">
        <v>7000</v>
      </c>
      <c r="C17" s="12" t="inlineStr">
        <is>
          <t>☐</t>
        </is>
      </c>
      <c r="D17" s="9">
        <f>IF($C17="☑",$B17,"")</f>
        <v/>
      </c>
      <c r="E17" s="2" t="inlineStr"/>
    </row>
    <row r="18" ht="26" customHeight="1">
      <c r="A18" s="4" t="inlineStr">
        <is>
          <t>Bed and mattress set</t>
        </is>
      </c>
      <c r="B18" s="10" t="n">
        <v>9300</v>
      </c>
      <c r="C18" s="11" t="inlineStr">
        <is>
          <t>☐</t>
        </is>
      </c>
      <c r="D18" s="10">
        <f>IF($C18="☑",$B18,"")</f>
        <v/>
      </c>
      <c r="E18" s="4" t="inlineStr"/>
    </row>
    <row r="19" ht="26" customHeight="1">
      <c r="A19" s="2" t="inlineStr">
        <is>
          <t>Second bed / second mattress</t>
        </is>
      </c>
      <c r="B19" s="9" t="n">
        <v>3200</v>
      </c>
      <c r="C19" s="12" t="inlineStr">
        <is>
          <t>☐</t>
        </is>
      </c>
      <c r="D19" s="9">
        <f>IF($C19="☑",$B19,"")</f>
        <v/>
      </c>
      <c r="E19" s="2" t="inlineStr"/>
    </row>
    <row r="20" ht="26" customHeight="1">
      <c r="A20" s="4" t="inlineStr">
        <is>
          <t>Desk and chair set</t>
        </is>
      </c>
      <c r="B20" s="10" t="n">
        <v>2500</v>
      </c>
      <c r="C20" s="11" t="inlineStr">
        <is>
          <t>☐</t>
        </is>
      </c>
      <c r="D20" s="10">
        <f>IF($C20="☑",$B20,"")</f>
        <v/>
      </c>
      <c r="E20" s="4" t="inlineStr"/>
    </row>
    <row r="21" ht="26" customHeight="1">
      <c r="A21" s="2" t="inlineStr">
        <is>
          <t>Appliance package</t>
        </is>
      </c>
      <c r="B21" s="9" t="n">
        <v>40000</v>
      </c>
      <c r="C21" s="12" t="inlineStr">
        <is>
          <t>☐</t>
        </is>
      </c>
      <c r="D21" s="9">
        <f>IF($C21="☑",$B21,"")</f>
        <v/>
      </c>
      <c r="E21" s="2" t="inlineStr"/>
    </row>
    <row r="22" ht="26" customHeight="1">
      <c r="A22" s="4" t="inlineStr">
        <is>
          <t>Motorized curtains</t>
        </is>
      </c>
      <c r="B22" s="10" t="n">
        <v>5700</v>
      </c>
      <c r="C22" s="11" t="inlineStr">
        <is>
          <t>☐</t>
        </is>
      </c>
      <c r="D22" s="10">
        <f>IF($C22="☑",$B22,"")</f>
        <v/>
      </c>
      <c r="E22" s="4" t="inlineStr"/>
    </row>
    <row r="23" ht="26" customHeight="1">
      <c r="A23" s="2" t="inlineStr">
        <is>
          <t>Low-E glass upgrade</t>
        </is>
      </c>
      <c r="B23" s="9" t="n">
        <v>20000</v>
      </c>
      <c r="C23" s="12" t="inlineStr">
        <is>
          <t>☐</t>
        </is>
      </c>
      <c r="D23" s="9">
        <f>IF($C23="☑",$B23,"")</f>
        <v/>
      </c>
      <c r="E23" s="2" t="inlineStr"/>
    </row>
    <row r="24" ht="26" customHeight="1">
      <c r="A24" s="4" t="inlineStr">
        <is>
          <t>Skylight</t>
        </is>
      </c>
      <c r="B24" s="10" t="n">
        <v>15000</v>
      </c>
      <c r="C24" s="11" t="inlineStr">
        <is>
          <t>☐</t>
        </is>
      </c>
      <c r="D24" s="10">
        <f>IF($C24="☑",$B24,"")</f>
        <v/>
      </c>
      <c r="E24" s="4" t="inlineStr"/>
    </row>
    <row r="25" ht="26" customHeight="1">
      <c r="A25" s="2" t="inlineStr">
        <is>
          <t>Interior finish upgrade package</t>
        </is>
      </c>
      <c r="B25" s="9" t="n">
        <v>40000</v>
      </c>
      <c r="C25" s="12" t="inlineStr">
        <is>
          <t>☐</t>
        </is>
      </c>
      <c r="D25" s="9">
        <f>IF($C25="☑",$B25,"")</f>
        <v/>
      </c>
      <c r="E25" s="2" t="inlineStr"/>
    </row>
    <row r="26" ht="26" customHeight="1">
      <c r="A26" s="4" t="inlineStr">
        <is>
          <t>Floor heating system</t>
        </is>
      </c>
      <c r="B26" s="10" t="n">
        <v>20000</v>
      </c>
      <c r="C26" s="11" t="inlineStr">
        <is>
          <t>☐</t>
        </is>
      </c>
      <c r="D26" s="10">
        <f>IF($C26="☑",$B26,"")</f>
        <v/>
      </c>
      <c r="E26" s="4" t="inlineStr"/>
    </row>
    <row r="27" ht="26" customHeight="1">
      <c r="A27" s="2" t="inlineStr">
        <is>
          <t>Light strip / ambient lighting system</t>
        </is>
      </c>
      <c r="B27" s="9" t="n">
        <v>2500</v>
      </c>
      <c r="C27" s="12" t="inlineStr">
        <is>
          <t>☐</t>
        </is>
      </c>
      <c r="D27" s="9">
        <f>IF($C27="☑",$B27,"")</f>
        <v/>
      </c>
      <c r="E27" s="2" t="inlineStr"/>
    </row>
    <row r="28" ht="26" customHeight="1">
      <c r="A28" s="4" t="inlineStr">
        <is>
          <t>Central air conditioning</t>
        </is>
      </c>
      <c r="B28" s="10" t="n">
        <v>40000</v>
      </c>
      <c r="C28" s="11" t="inlineStr">
        <is>
          <t>☐</t>
        </is>
      </c>
      <c r="D28" s="10">
        <f>IF($C28="☑",$B28,"")</f>
        <v/>
      </c>
      <c r="E28" s="4" t="inlineStr"/>
    </row>
    <row r="29" ht="26" customHeight="1">
      <c r="A29" s="2" t="inlineStr">
        <is>
          <t>Wall-mounted air conditioner</t>
        </is>
      </c>
      <c r="B29" s="9" t="n">
        <v>4700</v>
      </c>
      <c r="C29" s="12" t="inlineStr">
        <is>
          <t>☐</t>
        </is>
      </c>
      <c r="D29" s="9">
        <f>IF($C29="☑",$B29,"")</f>
        <v/>
      </c>
      <c r="E29" s="2" t="inlineStr"/>
    </row>
    <row r="30" ht="26" customHeight="1">
      <c r="A30" s="4" t="inlineStr">
        <is>
          <t>Fresh air ventilation system</t>
        </is>
      </c>
      <c r="B30" s="10" t="n">
        <v>15000</v>
      </c>
      <c r="C30" s="11" t="inlineStr">
        <is>
          <t>☐</t>
        </is>
      </c>
      <c r="D30" s="10">
        <f>IF($C30="☑",$B30,"")</f>
        <v/>
      </c>
      <c r="E30" s="4" t="inlineStr"/>
    </row>
    <row r="31" ht="26" customHeight="1">
      <c r="A31" s="2" t="inlineStr">
        <is>
          <t>Roof solar PV panels</t>
        </is>
      </c>
      <c r="B31" s="9" t="n">
        <v>25000</v>
      </c>
      <c r="C31" s="12" t="inlineStr">
        <is>
          <t>☐</t>
        </is>
      </c>
      <c r="D31" s="9">
        <f>IF($C31="☑",$B31,"")</f>
        <v/>
      </c>
      <c r="E31" s="2" t="inlineStr"/>
    </row>
    <row r="32" ht="26" customHeight="1">
      <c r="A32" s="4" t="inlineStr">
        <is>
          <t>Energy storage battery system</t>
        </is>
      </c>
      <c r="B32" s="10" t="n">
        <v>50000</v>
      </c>
      <c r="C32" s="11" t="inlineStr">
        <is>
          <t>☐</t>
        </is>
      </c>
      <c r="D32" s="10">
        <f>IF($C32="☑",$B32,"")</f>
        <v/>
      </c>
      <c r="E32" s="4" t="inlineStr"/>
    </row>
    <row r="33" ht="26" customHeight="1">
      <c r="A33" s="2" t="inlineStr">
        <is>
          <t>Inverter / energy management system</t>
        </is>
      </c>
      <c r="B33" s="9" t="n">
        <v>20000</v>
      </c>
      <c r="C33" s="12" t="inlineStr">
        <is>
          <t>☐</t>
        </is>
      </c>
      <c r="D33" s="9">
        <f>IF($C33="☑",$B33,"")</f>
        <v/>
      </c>
      <c r="E33" s="2" t="inlineStr"/>
    </row>
    <row r="34" ht="26" customHeight="1">
      <c r="A34" s="4" t="inlineStr">
        <is>
          <t>Starlink hardware and installation accessories</t>
        </is>
      </c>
      <c r="B34" s="10" t="n">
        <v>33200</v>
      </c>
      <c r="C34" s="11" t="inlineStr">
        <is>
          <t>☐</t>
        </is>
      </c>
      <c r="D34" s="10">
        <f>IF($C34="☑",$B34,"")</f>
        <v/>
      </c>
      <c r="E34" s="4" t="inlineStr"/>
    </row>
    <row r="35" ht="26" customHeight="1">
      <c r="A35" s="2" t="inlineStr">
        <is>
          <t>International communication system</t>
        </is>
      </c>
      <c r="B35" s="9" t="n">
        <v>10800</v>
      </c>
      <c r="C35" s="12" t="inlineStr">
        <is>
          <t>☐</t>
        </is>
      </c>
      <c r="D35" s="9">
        <f>IF($C35="☑",$B35,"")</f>
        <v/>
      </c>
      <c r="E35" s="2" t="inlineStr"/>
    </row>
    <row r="36" ht="26" customHeight="1">
      <c r="A36" s="4" t="inlineStr">
        <is>
          <t>LED display screen</t>
        </is>
      </c>
      <c r="B36" s="10" t="n">
        <v>28000</v>
      </c>
      <c r="C36" s="11" t="inlineStr">
        <is>
          <t>☐</t>
        </is>
      </c>
      <c r="D36" s="10">
        <f>IF($C36="☑",$B36,"")</f>
        <v/>
      </c>
      <c r="E36" s="4" t="inlineStr"/>
    </row>
    <row r="37" ht="26" customHeight="1">
      <c r="A37" s="2" t="inlineStr">
        <is>
          <t>Projector</t>
        </is>
      </c>
      <c r="B37" s="9" t="n">
        <v>5800</v>
      </c>
      <c r="C37" s="12" t="inlineStr">
        <is>
          <t>☐</t>
        </is>
      </c>
      <c r="D37" s="9">
        <f>IF($C37="☑",$B37,"")</f>
        <v/>
      </c>
      <c r="E37" s="2" t="inlineStr"/>
    </row>
    <row r="38" ht="26" customHeight="1">
      <c r="A38" s="4" t="inlineStr">
        <is>
          <t>3D presentation system</t>
        </is>
      </c>
      <c r="B38" s="10" t="n">
        <v>25000</v>
      </c>
      <c r="C38" s="11" t="inlineStr">
        <is>
          <t>☐</t>
        </is>
      </c>
      <c r="D38" s="10">
        <f>IF($C38="☑",$B38,"")</f>
        <v/>
      </c>
      <c r="E38" s="4" t="inlineStr"/>
    </row>
    <row r="39" ht="26" customHeight="1">
      <c r="A39" s="2" t="inlineStr">
        <is>
          <t>AI smart system</t>
        </is>
      </c>
      <c r="B39" s="9" t="n">
        <v>100000</v>
      </c>
      <c r="C39" s="12" t="inlineStr">
        <is>
          <t>☐</t>
        </is>
      </c>
      <c r="D39" s="9">
        <f>IF($C39="☑",$B39,"")</f>
        <v/>
      </c>
      <c r="E39" s="2" t="inlineStr"/>
    </row>
    <row r="40" ht="26" customHeight="1">
      <c r="A40" s="4" t="inlineStr">
        <is>
          <t>AI voice control / device-linked smart system</t>
        </is>
      </c>
      <c r="B40" s="10" t="n">
        <v>20000</v>
      </c>
      <c r="C40" s="11" t="inlineStr">
        <is>
          <t>☐</t>
        </is>
      </c>
      <c r="D40" s="10">
        <f>IF($C40="☑",$B40,"")</f>
        <v/>
      </c>
      <c r="E40" s="4" t="inlineStr"/>
    </row>
    <row r="41" ht="26" customHeight="1">
      <c r="A41" s="2" t="inlineStr">
        <is>
          <t>Water purification system</t>
        </is>
      </c>
      <c r="B41" s="9" t="n">
        <v>10000</v>
      </c>
      <c r="C41" s="12" t="inlineStr">
        <is>
          <t>☐</t>
        </is>
      </c>
      <c r="D41" s="9">
        <f>IF($C41="☑",$B41,"")</f>
        <v/>
      </c>
      <c r="E41" s="2" t="inlineStr"/>
    </row>
    <row r="42" ht="26" customHeight="1">
      <c r="A42" s="4" t="inlineStr">
        <is>
          <t>Smart door lock</t>
        </is>
      </c>
      <c r="B42" s="10" t="n">
        <v>1600</v>
      </c>
      <c r="C42" s="11" t="inlineStr">
        <is>
          <t>☐</t>
        </is>
      </c>
      <c r="D42" s="10">
        <f>IF($C42="☑",$B42,"")</f>
        <v/>
      </c>
      <c r="E42" s="4" t="inlineStr"/>
    </row>
    <row r="43" ht="26" customHeight="1">
      <c r="A43" s="2" t="inlineStr">
        <is>
          <t>Basic security package</t>
        </is>
      </c>
      <c r="B43" s="9" t="n">
        <v>4700</v>
      </c>
      <c r="C43" s="12" t="inlineStr">
        <is>
          <t>☐</t>
        </is>
      </c>
      <c r="D43" s="9">
        <f>IF($C43="☑",$B43,"")</f>
        <v/>
      </c>
      <c r="E43" s="2" t="inlineStr"/>
    </row>
    <row r="44" ht="26" customHeight="1">
      <c r="A44" s="4" t="inlineStr">
        <is>
          <t>Estimated logistics cost</t>
        </is>
      </c>
      <c r="B44" s="10" t="n">
        <v>96700</v>
      </c>
      <c r="C44" s="11" t="inlineStr">
        <is>
          <t>☐</t>
        </is>
      </c>
      <c r="D44" s="10">
        <f>IF($C44="☑",$B44,"")</f>
        <v/>
      </c>
      <c r="E44" s="4" t="inlineStr"/>
    </row>
  </sheetData>
  <autoFilter ref="A11:E44"/>
  <mergeCells count="1">
    <mergeCell ref="A1:E1"/>
  </mergeCells>
  <conditionalFormatting sqref="A12:E44">
    <cfRule type="expression" priority="1" dxfId="0">
      <formula>$C12="☑"</formula>
    </cfRule>
  </conditionalFormatting>
  <dataValidations count="1">
    <dataValidation sqref="C12:C44" showDropDown="0" showInputMessage="0" showErrorMessage="0" allowBlank="0" errorTitle="Invalid value" error="Please select from the list" promptTitle="Checkbox" prompt="Select check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2026-06-07T16:24:52Z</dcterms:created>
  <dcterms:modified xmlns:dcterms="http://purl.org/dc/terms/" xmlns:xsi="http://www.w3.org/2001/XMLSchema-instance" xsi:type="dcterms:W3CDTF">2026-06-07T16:24:52Z</dcterms:modified>
</cp:coreProperties>
</file>